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6729"/>
  <workbookPr hidePivotFieldList="1" defaultThemeVersion="164011"/>
  <mc:AlternateContent xmlns:mc="http://schemas.openxmlformats.org/markup-compatibility/2006">
    <mc:Choice Requires="x15">
      <x15ac:absPath xmlns:x15ac="http://schemas.microsoft.com/office/spreadsheetml/2010/11/ac" url="D:\Ecommerce project\"/>
    </mc:Choice>
  </mc:AlternateContent>
  <bookViews>
    <workbookView xWindow="0" yWindow="0" windowWidth="17256" windowHeight="4548" firstSheet="1" activeTab="5"/>
  </bookViews>
  <sheets>
    <sheet name="pivot report" sheetId="1" r:id="rId1"/>
    <sheet name="Patient Admitted Status " sheetId="6" r:id="rId2"/>
    <sheet name="Patient Satisfaction score" sheetId="5" r:id="rId3"/>
    <sheet name="Patient count  Trendline " sheetId="3" r:id="rId4"/>
    <sheet name="Patient Wait-Time" sheetId="4" r:id="rId5"/>
    <sheet name="dashboard" sheetId="2" r:id="rId6"/>
  </sheets>
  <definedNames>
    <definedName name="Slicer_Calender_Table__Month">#N/A</definedName>
    <definedName name="Slicer_Calender_Table__Year">#N/A</definedName>
  </definedNames>
  <calcPr calcId="162913"/>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s>
  <extLst>
    <ext xmlns:x14="http://schemas.microsoft.com/office/spreadsheetml/2009/9/main" uri="{876F7934-8845-4945-9796-88D515C7AA90}">
      <x14:pivotCaches>
        <pivotCache cacheId="11"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6f88e40a-e455-4b70-9406-c76e4656842d" name="Hospital Emergency Room Data" connection="Query - Hospital Emergency Room Data"/>
          <x15:modelTable id="Query1_dc9a9edd-e263-4bc5-9941-dc56997d53ef" name="Query1" connection="Query - Query1"/>
        </x15:modelTables>
        <x15:modelRelationships>
          <x15:modelRelationship fromTable="Hospital Emergency Room Data" fromColumn="Patient Admission Date." toTable="Query1" toColumn="Calender Table"/>
        </x15:modelRelationships>
        <x15:extLst>
          <ext xmlns:x16="http://schemas.microsoft.com/office/spreadsheetml/2014/11/main" uri="{9835A34E-60A6-4A7C-AAB8-D5F71C897F49}">
            <x16:modelTimeGroupings>
              <x16:modelTimeGrouping tableName="Query1" columnName="Calender Table" columnId="Calender Table">
                <x16:calculatedTimeColumn columnName="Calender Table (Year)" columnId="Calender Table (Year)" contentType="years" isSelected="0"/>
                <x16:calculatedTimeColumn columnName="Calender Table (Quarter)" columnId="Calender Table (Quarter)" contentType="quarters" isSelected="0"/>
                <x16:calculatedTimeColumn columnName="Calender Table (Month Index)" columnId="Calender Table (Month Index)" contentType="monthsindex" isSelected="1"/>
                <x16:calculatedTimeColumn columnName="Calender Table (Month)" columnId="Calender Table (Month)" contentType="months" isSelected="1"/>
                <x16:calculatedTimeColumn columnName="Calender Table (Day Index)" columnId="Calender Table (Day Index)" contentType="daysindex" isSelected="1"/>
                <x16:calculatedTimeColumn columnName="Calender Table (Day)" columnId="Calender Table (Day)" contentType="days" isSelected="1"/>
              </x16:modelTimeGrouping>
            </x16:modelTimeGroupings>
          </ext>
        </x15:extLst>
      </x15:dataModel>
    </ext>
  </extLst>
</workbook>
</file>

<file path=xl/connections.xml><?xml version="1.0" encoding="utf-8"?>
<connections xmlns="http://schemas.openxmlformats.org/spreadsheetml/2006/main">
  <connection id="1" name="Query - Hospital Emergency Room Data" description="Connection to the 'Hospital Emergency Room Data' query in the workbook." type="100" refreshedVersion="6" minRefreshableVersion="5">
    <extLst>
      <ext xmlns:x15="http://schemas.microsoft.com/office/spreadsheetml/2010/11/main" uri="{DE250136-89BD-433C-8126-D09CA5730AF9}">
        <x15:connection id="04cf6745-0c80-4450-aaf7-e066cd53d9a6"/>
      </ext>
    </extLst>
  </connection>
  <connection id="2" name="Query - Query1" description="Connection to the 'Query1' query in the workbook." type="100" refreshedVersion="6" minRefreshableVersion="5">
    <extLst>
      <ext xmlns:x15="http://schemas.microsoft.com/office/spreadsheetml/2010/11/main" uri="{DE250136-89BD-433C-8126-D09CA5730AF9}">
        <x15:connection id="6a0aaed9-5efc-4f40-9839-4ae70144f7f2"/>
      </ext>
    </extLst>
  </connection>
  <connection id="3" keepAlive="1" name="ThisWorkbookDataModel" description="Data Model" type="5" refreshedVersion="6"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<sst xmlns="http://schemas.openxmlformats.org/spreadsheetml/2006/main" count="141" uniqueCount="56">
  <si>
    <t>Distinct Count of Patient Id</t>
  </si>
  <si>
    <t>Average of Patient Waittime</t>
  </si>
  <si>
    <t>Average of Patient Satisfaction Score</t>
  </si>
  <si>
    <t>Grand Total</t>
  </si>
  <si>
    <t>Row Labels</t>
  </si>
  <si>
    <t>Admitted</t>
  </si>
  <si>
    <t>Not Admitted</t>
  </si>
  <si>
    <t>Count of Patient Attend Status</t>
  </si>
  <si>
    <t>Count of Patient Admission Flag</t>
  </si>
  <si>
    <t>0-9</t>
  </si>
  <si>
    <t>10-19</t>
  </si>
  <si>
    <t>20-29</t>
  </si>
  <si>
    <t>30-39</t>
  </si>
  <si>
    <t>40-49</t>
  </si>
  <si>
    <t>50-59</t>
  </si>
  <si>
    <t>60-69</t>
  </si>
  <si>
    <t>70-79</t>
  </si>
  <si>
    <t>Count of Patient Age</t>
  </si>
  <si>
    <t>on time</t>
  </si>
  <si>
    <t>Delay</t>
  </si>
  <si>
    <t>Female</t>
  </si>
  <si>
    <t>Male</t>
  </si>
  <si>
    <t>Count of Patient Gender</t>
  </si>
  <si>
    <t>2023</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</si>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</sst>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u/>
      <sz val="11"/>
      <color theme="10"/>
      <name val="Calibri"/>
      <family val="2"/>
      <scheme val="minor"/>
    </font>
    <font>
      <b/>
      <sz val="11"/>
      <color theme="1"/>
      <name val="Calibri"/>
      <family val="2"/>
      <scheme val="minor"/>
    </font>
  </fonts>
  <fills count="4">
    <fill>
      <patternFill patternType="none"/>
    </fill>
    <fill>
      <patternFill patternType="gray125"/>
    </fill>
    <fill>
      <patternFill patternType="solid">
        <fgColor theme="1" tint="0.14999847407452621"/>
        <bgColor indexed="64"/>
      </patternFill>
    </fill>
    <fill>
      <patternFill patternType="solid">
        <fgColor theme="4" tint="0.79998168889431442"/>
        <bgColor theme="4" tint="0.79998168889431442"/>
      </patternFill>
    </fill>
  </fills>
  <borders count="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1" fillId="0" borderId="0" applyNumberFormat="0" applyFill="0" applyBorder="0" applyAlignment="0" applyProtection="0"/>
  </cellStyleXfs>
  <cellXfs count="16">
    <xf numFmtId="0" fontId="0" fillId="0" borderId="0" xfId="0"/>
    <xf numFmtId="0" fontId="0" fillId="0" borderId="0" xfId="0" applyNumberFormat="1"/>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1" fillId="2" borderId="0" xfId="1" quotePrefix="1" applyFill="1"/>
    <xf numFmtId="1" fontId="0" fillId="0" borderId="0" xfId="0" applyNumberFormat="1"/>
    <xf numFmtId="10" fontId="0" fillId="0" borderId="0" xfId="0" applyNumberFormat="1"/>
    <xf numFmtId="0" fontId="2" fillId="3" borderId="0" xfId="0" applyFont="1" applyFill="1" applyBorder="1"/>
    <xf numFmtId="0" fontId="0" fillId="0" borderId="1" xfId="0" applyBorder="1" applyAlignment="1">
      <alignment horizontal="left"/>
    </xf>
    <xf numFmtId="1" fontId="0" fillId="0" borderId="2" xfId="0" applyNumberFormat="1" applyBorder="1"/>
    <xf numFmtId="10" fontId="0" fillId="0" borderId="3" xfId="0" applyNumberFormat="1" applyBorder="1"/>
    <xf numFmtId="0" fontId="0" fillId="0" borderId="4" xfId="0" applyBorder="1" applyAlignment="1">
      <alignment horizontal="left"/>
    </xf>
    <xf numFmtId="1" fontId="0" fillId="0" borderId="5" xfId="0" applyNumberFormat="1" applyBorder="1"/>
    <xf numFmtId="10" fontId="0" fillId="0" borderId="6" xfId="0" applyNumberFormat="1" applyBorder="1"/>
  </cellXfs>
  <cellStyles count="2">
    <cellStyle name="Hyperlink" xfId="1" builtinId="8"/>
    <cellStyle name="Normal" xfId="0" builtinId="0"/>
  </cellStyles>
  <dxfs count="62">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9" formatCode="0.000"/>
    </dxf>
    <dxf>
      <numFmt numFmtId="169" formatCode="0.000"/>
    </dxf>
    <dxf>
      <numFmt numFmtId="165" formatCode="0.0000"/>
    </dxf>
    <dxf>
      <numFmt numFmtId="165" formatCode="0.0000"/>
    </dxf>
    <dxf>
      <numFmt numFmtId="166" formatCode="0.00000"/>
    </dxf>
    <dxf>
      <numFmt numFmtId="166" formatCode="0.00000"/>
    </dxf>
    <dxf>
      <numFmt numFmtId="167" formatCode="0.000000"/>
    </dxf>
    <dxf>
      <numFmt numFmtId="167" formatCode="0.000000"/>
    </dxf>
    <dxf>
      <numFmt numFmtId="168" formatCode="0.0000000"/>
    </dxf>
    <dxf>
      <numFmt numFmtId="168" formatCode="0.0000000"/>
    </dxf>
    <dxf>
      <numFmt numFmtId="2" formatCode="0.00"/>
    </dxf>
    <dxf>
      <numFmt numFmtId="169" formatCode="0.000"/>
    </dxf>
    <dxf>
      <numFmt numFmtId="165" formatCode="0.0000"/>
    </dxf>
    <dxf>
      <numFmt numFmtId="166" formatCode="0.00000"/>
    </dxf>
    <dxf>
      <numFmt numFmtId="167" formatCode="0.000000"/>
    </dxf>
    <dxf>
      <numFmt numFmtId="168" formatCode="0.0000000"/>
    </dxf>
    <dxf>
      <numFmt numFmtId="170" formatCode="0.00000000"/>
    </dxf>
    <dxf>
      <numFmt numFmtId="171" formatCode="0.000000000"/>
    </dxf>
    <dxf>
      <numFmt numFmtId="2" formatCode="0.00"/>
    </dxf>
    <dxf>
      <numFmt numFmtId="2" formatCode="0.00"/>
    </dxf>
    <dxf>
      <numFmt numFmtId="165" formatCode="0.0000"/>
    </dxf>
    <dxf>
      <numFmt numFmtId="166" formatCode="0.00000"/>
    </dxf>
    <dxf>
      <numFmt numFmtId="167" formatCode="0.000000"/>
    </dxf>
    <dxf>
      <numFmt numFmtId="168" formatCode="0.0000000"/>
    </dxf>
    <dxf>
      <numFmt numFmtId="2" formatCode="0.00"/>
    </dxf>
    <dxf>
      <numFmt numFmtId="2" formatCode="0.00"/>
    </dxf>
    <dxf>
      <numFmt numFmtId="169" formatCode="0.000"/>
    </dxf>
    <dxf>
      <numFmt numFmtId="169" formatCode="0.000"/>
    </dxf>
    <dxf>
      <numFmt numFmtId="165" formatCode="0.0000"/>
    </dxf>
    <dxf>
      <numFmt numFmtId="165" formatCode="0.0000"/>
    </dxf>
    <dxf>
      <numFmt numFmtId="166" formatCode="0.00000"/>
    </dxf>
    <dxf>
      <numFmt numFmtId="166" formatCode="0.00000"/>
    </dxf>
    <dxf>
      <numFmt numFmtId="167" formatCode="0.000000"/>
    </dxf>
    <dxf>
      <numFmt numFmtId="167" formatCode="0.000000"/>
    </dxf>
    <dxf>
      <numFmt numFmtId="168" formatCode="0.0000000"/>
    </dxf>
    <dxf>
      <numFmt numFmtId="168" formatCode="0.0000000"/>
    </dxf>
    <dxf>
      <numFmt numFmtId="2" formatCode="0.00"/>
    </dxf>
    <dxf>
      <numFmt numFmtId="169" formatCode="0.000"/>
    </dxf>
    <dxf>
      <numFmt numFmtId="165" formatCode="0.0000"/>
    </dxf>
    <dxf>
      <numFmt numFmtId="166" formatCode="0.00000"/>
    </dxf>
    <dxf>
      <numFmt numFmtId="167" formatCode="0.000000"/>
    </dxf>
    <dxf>
      <numFmt numFmtId="168" formatCode="0.0000000"/>
    </dxf>
    <dxf>
      <numFmt numFmtId="170" formatCode="0.00000000"/>
    </dxf>
    <dxf>
      <numFmt numFmtId="171" formatCode="0.000000000"/>
    </dxf>
    <dxf>
      <numFmt numFmtId="14" formatCode="0.00%"/>
    </dxf>
    <dxf>
      <numFmt numFmtId="1" formatCode="0"/>
    </dxf>
    <dxf>
      <numFmt numFmtId="164" formatCode="0.0"/>
    </dxf>
    <dxf>
      <numFmt numFmtId="1" formatCode="0"/>
    </dxf>
    <dxf>
      <numFmt numFmtId="164" formatCode="0.0"/>
    </dxf>
    <dxf>
      <numFmt numFmtId="2" formatCode="0.00"/>
    </dxf>
    <dxf>
      <font>
        <b/>
        <color theme="1"/>
      </font>
      <border>
        <bottom style="thin">
          <color theme="8"/>
        </bottom>
        <vertical/>
        <horizontal/>
      </border>
    </dxf>
    <dxf>
      <font>
        <sz val="8"/>
        <color theme="1"/>
      </font>
      <fill>
        <patternFill>
          <bgColor theme="0"/>
        </patternFill>
      </fill>
      <border>
        <left style="thin">
          <color theme="8"/>
        </left>
        <right style="thin">
          <color theme="8"/>
        </right>
        <top style="thin">
          <color theme="8"/>
        </top>
        <bottom style="thin">
          <color theme="8"/>
        </bottom>
        <vertical/>
        <horizontal/>
      </border>
    </dxf>
  </dxfs>
  <tableStyles count="1" defaultTableStyle="TableStyleMedium2" defaultPivotStyle="PivotStyleLight16">
    <tableStyle name="Mystyle" pivot="0" table="0" count="10">
      <tableStyleElement type="wholeTable" dxfId="61"/>
      <tableStyleElement type="headerRow" dxfId="6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pivotCacheDefinition" Target="pivotCache/pivotCacheDefinition4.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onnections" Target="connections.xml"/><Relationship Id="rId27"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report!PivotTable7</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clustered"/>
        <c:varyColors val="0"/>
        <c:ser>
          <c:idx val="0"/>
          <c:order val="0"/>
          <c:tx>
            <c:strRef>
              <c:f>'pivot report'!$B$11</c:f>
              <c:strCache>
                <c:ptCount val="1"/>
                <c:pt idx="0">
                  <c:v>Count of Patient Attend Status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report'!$A$12:$A$14</c:f>
              <c:strCache>
                <c:ptCount val="2"/>
                <c:pt idx="0">
                  <c:v>Admitted</c:v>
                </c:pt>
                <c:pt idx="1">
                  <c:v>Not Admitted</c:v>
                </c:pt>
              </c:strCache>
            </c:strRef>
          </c:cat>
          <c:val>
            <c:numRef>
              <c:f>'pivot report'!$B$12:$B$14</c:f>
              <c:numCache>
                <c:formatCode>0</c:formatCode>
                <c:ptCount val="2"/>
                <c:pt idx="0">
                  <c:v>234</c:v>
                </c:pt>
                <c:pt idx="1">
                  <c:v>260</c:v>
                </c:pt>
              </c:numCache>
            </c:numRef>
          </c:val>
          <c:extLst>
            <c:ext xmlns:c16="http://schemas.microsoft.com/office/drawing/2014/chart" uri="{C3380CC4-5D6E-409C-BE32-E72D297353CC}">
              <c16:uniqueId val="{00000000-8A75-40F6-AA34-9CA04B13BC96}"/>
            </c:ext>
          </c:extLst>
        </c:ser>
        <c:ser>
          <c:idx val="1"/>
          <c:order val="1"/>
          <c:tx>
            <c:strRef>
              <c:f>'pivot report'!$C$11</c:f>
              <c:strCache>
                <c:ptCount val="1"/>
                <c:pt idx="0">
                  <c:v>Count of Patient Admission Flag</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report'!$A$12:$A$14</c:f>
              <c:strCache>
                <c:ptCount val="2"/>
                <c:pt idx="0">
                  <c:v>Admitted</c:v>
                </c:pt>
                <c:pt idx="1">
                  <c:v>Not Admitted</c:v>
                </c:pt>
              </c:strCache>
            </c:strRef>
          </c:cat>
          <c:val>
            <c:numRef>
              <c:f>'pivot report'!$C$12:$C$14</c:f>
              <c:numCache>
                <c:formatCode>0.00%</c:formatCode>
                <c:ptCount val="2"/>
                <c:pt idx="0">
                  <c:v>0.47368421052631576</c:v>
                </c:pt>
                <c:pt idx="1">
                  <c:v>0.52631578947368418</c:v>
                </c:pt>
              </c:numCache>
            </c:numRef>
          </c:val>
          <c:extLst>
            <c:ext xmlns:c16="http://schemas.microsoft.com/office/drawing/2014/chart" uri="{C3380CC4-5D6E-409C-BE32-E72D297353CC}">
              <c16:uniqueId val="{00000001-8A75-40F6-AA34-9CA04B13BC96}"/>
            </c:ext>
          </c:extLst>
        </c:ser>
        <c:dLbls>
          <c:showLegendKey val="0"/>
          <c:showVal val="0"/>
          <c:showCatName val="0"/>
          <c:showSerName val="0"/>
          <c:showPercent val="0"/>
          <c:showBubbleSize val="0"/>
        </c:dLbls>
        <c:gapWidth val="115"/>
        <c:overlap val="-20"/>
        <c:axId val="882782952"/>
        <c:axId val="882759664"/>
      </c:barChart>
      <c:catAx>
        <c:axId val="88278295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2759664"/>
        <c:crosses val="autoZero"/>
        <c:auto val="1"/>
        <c:lblAlgn val="ctr"/>
        <c:lblOffset val="100"/>
        <c:noMultiLvlLbl val="0"/>
      </c:catAx>
      <c:valAx>
        <c:axId val="882759664"/>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2782952"/>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report!PivotTable7</c:name>
    <c:fmtId val="5"/>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s>
    <c:plotArea>
      <c:layout>
        <c:manualLayout>
          <c:layoutTarget val="inner"/>
          <c:xMode val="edge"/>
          <c:yMode val="edge"/>
          <c:x val="3.0555555555555555E-2"/>
          <c:y val="5.0925925925925923E-2"/>
          <c:w val="0.92511120320486251"/>
          <c:h val="0.85233478277901831"/>
        </c:manualLayout>
      </c:layout>
      <c:barChart>
        <c:barDir val="bar"/>
        <c:grouping val="clustered"/>
        <c:varyColors val="0"/>
        <c:ser>
          <c:idx val="0"/>
          <c:order val="0"/>
          <c:tx>
            <c:strRef>
              <c:f>'pivot report'!$B$11</c:f>
              <c:strCache>
                <c:ptCount val="1"/>
                <c:pt idx="0">
                  <c:v>Count of Patient Attend Status</c:v>
                </c:pt>
              </c:strCache>
            </c:strRef>
          </c:tx>
          <c:spPr>
            <a:solidFill>
              <a:schemeClr val="accent1"/>
            </a:solidFill>
            <a:ln>
              <a:noFill/>
            </a:ln>
            <a:effectLst/>
          </c:spPr>
          <c:invertIfNegative val="0"/>
          <c:cat>
            <c:strRef>
              <c:f>'pivot report'!$A$12:$A$14</c:f>
              <c:strCache>
                <c:ptCount val="2"/>
                <c:pt idx="0">
                  <c:v>Admitted</c:v>
                </c:pt>
                <c:pt idx="1">
                  <c:v>Not Admitted</c:v>
                </c:pt>
              </c:strCache>
            </c:strRef>
          </c:cat>
          <c:val>
            <c:numRef>
              <c:f>'pivot report'!$B$12:$B$14</c:f>
              <c:numCache>
                <c:formatCode>0</c:formatCode>
                <c:ptCount val="2"/>
                <c:pt idx="0">
                  <c:v>234</c:v>
                </c:pt>
                <c:pt idx="1">
                  <c:v>260</c:v>
                </c:pt>
              </c:numCache>
            </c:numRef>
          </c:val>
          <c:extLst>
            <c:ext xmlns:c16="http://schemas.microsoft.com/office/drawing/2014/chart" uri="{C3380CC4-5D6E-409C-BE32-E72D297353CC}">
              <c16:uniqueId val="{00000000-325C-45DC-9006-7E9955D7B78F}"/>
            </c:ext>
          </c:extLst>
        </c:ser>
        <c:ser>
          <c:idx val="1"/>
          <c:order val="1"/>
          <c:tx>
            <c:strRef>
              <c:f>'pivot report'!$C$11</c:f>
              <c:strCache>
                <c:ptCount val="1"/>
                <c:pt idx="0">
                  <c:v>Count of Patient Admission Flag</c:v>
                </c:pt>
              </c:strCache>
            </c:strRef>
          </c:tx>
          <c:spPr>
            <a:solidFill>
              <a:schemeClr val="accent2"/>
            </a:solidFill>
            <a:ln>
              <a:noFill/>
            </a:ln>
            <a:effectLst/>
          </c:spPr>
          <c:invertIfNegative val="0"/>
          <c:cat>
            <c:strRef>
              <c:f>'pivot report'!$A$12:$A$14</c:f>
              <c:strCache>
                <c:ptCount val="2"/>
                <c:pt idx="0">
                  <c:v>Admitted</c:v>
                </c:pt>
                <c:pt idx="1">
                  <c:v>Not Admitted</c:v>
                </c:pt>
              </c:strCache>
            </c:strRef>
          </c:cat>
          <c:val>
            <c:numRef>
              <c:f>'pivot report'!$C$12:$C$14</c:f>
              <c:numCache>
                <c:formatCode>0.00%</c:formatCode>
                <c:ptCount val="2"/>
                <c:pt idx="0">
                  <c:v>0.47368421052631576</c:v>
                </c:pt>
                <c:pt idx="1">
                  <c:v>0.52631578947368418</c:v>
                </c:pt>
              </c:numCache>
            </c:numRef>
          </c:val>
          <c:extLst>
            <c:ext xmlns:c16="http://schemas.microsoft.com/office/drawing/2014/chart" uri="{C3380CC4-5D6E-409C-BE32-E72D297353CC}">
              <c16:uniqueId val="{00000001-325C-45DC-9006-7E9955D7B78F}"/>
            </c:ext>
          </c:extLst>
        </c:ser>
        <c:dLbls>
          <c:showLegendKey val="0"/>
          <c:showVal val="0"/>
          <c:showCatName val="0"/>
          <c:showSerName val="0"/>
          <c:showPercent val="0"/>
          <c:showBubbleSize val="0"/>
        </c:dLbls>
        <c:gapWidth val="182"/>
        <c:axId val="882782952"/>
        <c:axId val="882759664"/>
      </c:barChart>
      <c:catAx>
        <c:axId val="882782952"/>
        <c:scaling>
          <c:orientation val="minMax"/>
        </c:scaling>
        <c:delete val="1"/>
        <c:axPos val="l"/>
        <c:numFmt formatCode="General" sourceLinked="1"/>
        <c:majorTickMark val="none"/>
        <c:minorTickMark val="none"/>
        <c:tickLblPos val="nextTo"/>
        <c:crossAx val="882759664"/>
        <c:crosses val="autoZero"/>
        <c:auto val="1"/>
        <c:lblAlgn val="ctr"/>
        <c:lblOffset val="100"/>
        <c:noMultiLvlLbl val="0"/>
      </c:catAx>
      <c:valAx>
        <c:axId val="882759664"/>
        <c:scaling>
          <c:orientation val="minMax"/>
        </c:scaling>
        <c:delete val="1"/>
        <c:axPos val="b"/>
        <c:numFmt formatCode="0" sourceLinked="1"/>
        <c:majorTickMark val="none"/>
        <c:minorTickMark val="none"/>
        <c:tickLblPos val="nextTo"/>
        <c:crossAx val="8827829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report!PivotTable6</c:name>
    <c:fmtId val="2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pivotFmt>
      <c:pivotFmt>
        <c:idx val="1"/>
      </c:pivotFmt>
      <c:pivotFmt>
        <c:idx val="2"/>
      </c:pivotFmt>
      <c:pivotFmt>
        <c:idx val="3"/>
      </c:pivotFmt>
      <c:pivotFmt>
        <c:idx val="4"/>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pivotFmt>
    </c:pivotFmts>
    <c:plotArea>
      <c:layout/>
      <c:areaChart>
        <c:grouping val="standard"/>
        <c:varyColors val="0"/>
        <c:ser>
          <c:idx val="0"/>
          <c:order val="0"/>
          <c:tx>
            <c:strRef>
              <c:f>'pivot report'!$L$2</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cat>
            <c:strRef>
              <c:f>'pivot report'!$K$3:$K$34</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report'!$L$3:$L$34</c:f>
              <c:numCache>
                <c:formatCode>0.00</c:formatCode>
                <c:ptCount val="31"/>
                <c:pt idx="0">
                  <c:v>8</c:v>
                </c:pt>
                <c:pt idx="1">
                  <c:v>4</c:v>
                </c:pt>
                <c:pt idx="2">
                  <c:v>5.333333333333333</c:v>
                </c:pt>
                <c:pt idx="3">
                  <c:v>4.666666666666667</c:v>
                </c:pt>
                <c:pt idx="4">
                  <c:v>6.2</c:v>
                </c:pt>
                <c:pt idx="5">
                  <c:v>6.333333333333333</c:v>
                </c:pt>
                <c:pt idx="6">
                  <c:v>9.5</c:v>
                </c:pt>
                <c:pt idx="7">
                  <c:v>2</c:v>
                </c:pt>
                <c:pt idx="8">
                  <c:v>6.666666666666667</c:v>
                </c:pt>
                <c:pt idx="9">
                  <c:v>2.25</c:v>
                </c:pt>
                <c:pt idx="10">
                  <c:v>3</c:v>
                </c:pt>
                <c:pt idx="11">
                  <c:v>4.7142857142857144</c:v>
                </c:pt>
                <c:pt idx="12">
                  <c:v>10</c:v>
                </c:pt>
                <c:pt idx="13">
                  <c:v>5.666666666666667</c:v>
                </c:pt>
                <c:pt idx="14">
                  <c:v>5</c:v>
                </c:pt>
                <c:pt idx="15">
                  <c:v>3</c:v>
                </c:pt>
                <c:pt idx="16">
                  <c:v>5.333333333333333</c:v>
                </c:pt>
                <c:pt idx="17">
                  <c:v>5.833333333333333</c:v>
                </c:pt>
                <c:pt idx="18">
                  <c:v>5.8</c:v>
                </c:pt>
                <c:pt idx="19">
                  <c:v>5.2</c:v>
                </c:pt>
                <c:pt idx="20">
                  <c:v>4.5</c:v>
                </c:pt>
                <c:pt idx="21">
                  <c:v>6</c:v>
                </c:pt>
                <c:pt idx="22">
                  <c:v>6.5</c:v>
                </c:pt>
                <c:pt idx="23">
                  <c:v>4.166666666666667</c:v>
                </c:pt>
                <c:pt idx="24">
                  <c:v>3.6666666666666665</c:v>
                </c:pt>
                <c:pt idx="25">
                  <c:v>3.5</c:v>
                </c:pt>
                <c:pt idx="26">
                  <c:v>6</c:v>
                </c:pt>
                <c:pt idx="27">
                  <c:v>5.1428571428571432</c:v>
                </c:pt>
                <c:pt idx="28">
                  <c:v>4</c:v>
                </c:pt>
                <c:pt idx="29">
                  <c:v>3.5</c:v>
                </c:pt>
                <c:pt idx="30">
                  <c:v>5</c:v>
                </c:pt>
              </c:numCache>
            </c:numRef>
          </c:val>
          <c:extLst>
            <c:ext xmlns:c16="http://schemas.microsoft.com/office/drawing/2014/chart" uri="{C3380CC4-5D6E-409C-BE32-E72D297353CC}">
              <c16:uniqueId val="{00000000-21B4-4B82-BB4C-B79E9C86C18F}"/>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567939992"/>
        <c:axId val="567944584"/>
      </c:areaChart>
      <c:catAx>
        <c:axId val="567939992"/>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567944584"/>
        <c:crosses val="autoZero"/>
        <c:auto val="1"/>
        <c:lblAlgn val="ctr"/>
        <c:lblOffset val="100"/>
        <c:noMultiLvlLbl val="0"/>
      </c:catAx>
      <c:valAx>
        <c:axId val="56794458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6793999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report!PivotTable4</c:name>
    <c:fmtId val="6"/>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pPr>
            <a:solidFill>
              <a:schemeClr val="accent1"/>
            </a:solidFill>
            <a:ln w="9525">
              <a:solidFill>
                <a:schemeClr val="accent1"/>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pivotFmt>
    </c:pivotFmts>
    <c:plotArea>
      <c:layout/>
      <c:areaChart>
        <c:grouping val="standard"/>
        <c:varyColors val="0"/>
        <c:ser>
          <c:idx val="0"/>
          <c:order val="0"/>
          <c:tx>
            <c:strRef>
              <c:f>'pivot report'!$E$2</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cat>
            <c:strRef>
              <c:f>'pivot report'!$D$3:$D$34</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report'!$E$3:$E$34</c:f>
              <c:numCache>
                <c:formatCode>General</c:formatCode>
                <c:ptCount val="31"/>
                <c:pt idx="0">
                  <c:v>14</c:v>
                </c:pt>
                <c:pt idx="1">
                  <c:v>15</c:v>
                </c:pt>
                <c:pt idx="2">
                  <c:v>17</c:v>
                </c:pt>
                <c:pt idx="3">
                  <c:v>12</c:v>
                </c:pt>
                <c:pt idx="4">
                  <c:v>23</c:v>
                </c:pt>
                <c:pt idx="5">
                  <c:v>10</c:v>
                </c:pt>
                <c:pt idx="6">
                  <c:v>18</c:v>
                </c:pt>
                <c:pt idx="7">
                  <c:v>11</c:v>
                </c:pt>
                <c:pt idx="8">
                  <c:v>12</c:v>
                </c:pt>
                <c:pt idx="9">
                  <c:v>24</c:v>
                </c:pt>
                <c:pt idx="10">
                  <c:v>16</c:v>
                </c:pt>
                <c:pt idx="11">
                  <c:v>21</c:v>
                </c:pt>
                <c:pt idx="12">
                  <c:v>16</c:v>
                </c:pt>
                <c:pt idx="13">
                  <c:v>15</c:v>
                </c:pt>
                <c:pt idx="14">
                  <c:v>14</c:v>
                </c:pt>
                <c:pt idx="15">
                  <c:v>18</c:v>
                </c:pt>
                <c:pt idx="16">
                  <c:v>12</c:v>
                </c:pt>
                <c:pt idx="17">
                  <c:v>18</c:v>
                </c:pt>
                <c:pt idx="18">
                  <c:v>16</c:v>
                </c:pt>
                <c:pt idx="19">
                  <c:v>22</c:v>
                </c:pt>
                <c:pt idx="20">
                  <c:v>16</c:v>
                </c:pt>
                <c:pt idx="21">
                  <c:v>10</c:v>
                </c:pt>
                <c:pt idx="22">
                  <c:v>18</c:v>
                </c:pt>
                <c:pt idx="23">
                  <c:v>13</c:v>
                </c:pt>
                <c:pt idx="24">
                  <c:v>20</c:v>
                </c:pt>
                <c:pt idx="25">
                  <c:v>17</c:v>
                </c:pt>
                <c:pt idx="26">
                  <c:v>19</c:v>
                </c:pt>
                <c:pt idx="27">
                  <c:v>17</c:v>
                </c:pt>
                <c:pt idx="28">
                  <c:v>22</c:v>
                </c:pt>
                <c:pt idx="29">
                  <c:v>9</c:v>
                </c:pt>
                <c:pt idx="30">
                  <c:v>9</c:v>
                </c:pt>
              </c:numCache>
            </c:numRef>
          </c:val>
          <c:extLst>
            <c:ext xmlns:c16="http://schemas.microsoft.com/office/drawing/2014/chart" uri="{C3380CC4-5D6E-409C-BE32-E72D297353CC}">
              <c16:uniqueId val="{00000000-1634-4BB1-9634-39B508A10871}"/>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929443408"/>
        <c:axId val="929443736"/>
      </c:areaChart>
      <c:catAx>
        <c:axId val="92944340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929443736"/>
        <c:crosses val="autoZero"/>
        <c:auto val="1"/>
        <c:lblAlgn val="ctr"/>
        <c:lblOffset val="100"/>
        <c:noMultiLvlLbl val="0"/>
      </c:catAx>
      <c:valAx>
        <c:axId val="92944373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944340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report!PivotTable5</c:name>
    <c:fmtId val="17"/>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pivotFmt>
      <c:pivotFmt>
        <c:idx val="1"/>
      </c:pivotFmt>
      <c:pivotFmt>
        <c:idx val="2"/>
      </c:pivotFmt>
      <c:pivotFmt>
        <c:idx val="3"/>
      </c:pivotFmt>
      <c:pivotFmt>
        <c:idx val="4"/>
      </c:pivotFmt>
      <c:pivotFmt>
        <c:idx val="5"/>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pivotFmt>
    </c:pivotFmts>
    <c:plotArea>
      <c:layout/>
      <c:areaChart>
        <c:grouping val="standard"/>
        <c:varyColors val="0"/>
        <c:ser>
          <c:idx val="0"/>
          <c:order val="0"/>
          <c:tx>
            <c:strRef>
              <c:f>'pivot report'!$I$2</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cat>
            <c:strRef>
              <c:f>'pivot report'!$H$3:$H$34</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report'!$I$3:$I$34</c:f>
              <c:numCache>
                <c:formatCode>General</c:formatCode>
                <c:ptCount val="31"/>
                <c:pt idx="0">
                  <c:v>35.714285714285715</c:v>
                </c:pt>
                <c:pt idx="1">
                  <c:v>38.533333333333331</c:v>
                </c:pt>
                <c:pt idx="2">
                  <c:v>38.941176470588232</c:v>
                </c:pt>
                <c:pt idx="3">
                  <c:v>35.666666666666664</c:v>
                </c:pt>
                <c:pt idx="4">
                  <c:v>39.478260869565219</c:v>
                </c:pt>
                <c:pt idx="5">
                  <c:v>25.1</c:v>
                </c:pt>
                <c:pt idx="6">
                  <c:v>43.666666666666664</c:v>
                </c:pt>
                <c:pt idx="7">
                  <c:v>38.090909090909093</c:v>
                </c:pt>
                <c:pt idx="8">
                  <c:v>28.25</c:v>
                </c:pt>
                <c:pt idx="9">
                  <c:v>36.291666666666664</c:v>
                </c:pt>
                <c:pt idx="10">
                  <c:v>31.875</c:v>
                </c:pt>
                <c:pt idx="11">
                  <c:v>32.333333333333336</c:v>
                </c:pt>
                <c:pt idx="12">
                  <c:v>36.3125</c:v>
                </c:pt>
                <c:pt idx="13">
                  <c:v>41.133333333333333</c:v>
                </c:pt>
                <c:pt idx="14">
                  <c:v>32.071428571428569</c:v>
                </c:pt>
                <c:pt idx="15">
                  <c:v>34.222222222222221</c:v>
                </c:pt>
                <c:pt idx="16">
                  <c:v>43.666666666666664</c:v>
                </c:pt>
                <c:pt idx="17">
                  <c:v>38.5</c:v>
                </c:pt>
                <c:pt idx="18">
                  <c:v>32.6875</c:v>
                </c:pt>
                <c:pt idx="19">
                  <c:v>41.045454545454547</c:v>
                </c:pt>
                <c:pt idx="20">
                  <c:v>36.6875</c:v>
                </c:pt>
                <c:pt idx="21">
                  <c:v>38.5</c:v>
                </c:pt>
                <c:pt idx="22">
                  <c:v>33.777777777777779</c:v>
                </c:pt>
                <c:pt idx="23">
                  <c:v>41.692307692307693</c:v>
                </c:pt>
                <c:pt idx="24">
                  <c:v>31.7</c:v>
                </c:pt>
                <c:pt idx="25">
                  <c:v>36.470588235294116</c:v>
                </c:pt>
                <c:pt idx="26">
                  <c:v>37.210526315789473</c:v>
                </c:pt>
                <c:pt idx="27">
                  <c:v>36.294117647058826</c:v>
                </c:pt>
                <c:pt idx="28">
                  <c:v>32</c:v>
                </c:pt>
                <c:pt idx="29">
                  <c:v>41.444444444444443</c:v>
                </c:pt>
                <c:pt idx="30">
                  <c:v>40.444444444444443</c:v>
                </c:pt>
              </c:numCache>
            </c:numRef>
          </c:val>
          <c:extLst>
            <c:ext xmlns:c16="http://schemas.microsoft.com/office/drawing/2014/chart" uri="{C3380CC4-5D6E-409C-BE32-E72D297353CC}">
              <c16:uniqueId val="{00000000-731A-4F78-98BF-78304E1572A2}"/>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668775224"/>
        <c:axId val="660445008"/>
      </c:areaChart>
      <c:catAx>
        <c:axId val="668775224"/>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660445008"/>
        <c:crosses val="autoZero"/>
        <c:auto val="1"/>
        <c:lblAlgn val="ctr"/>
        <c:lblOffset val="100"/>
        <c:noMultiLvlLbl val="0"/>
      </c:catAx>
      <c:valAx>
        <c:axId val="66044500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6877522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report!PivotTable4</c:name>
    <c:fmtId val="4"/>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pivotFmt>
    </c:pivotFmts>
    <c:plotArea>
      <c:layout/>
      <c:areaChart>
        <c:grouping val="standard"/>
        <c:varyColors val="0"/>
        <c:ser>
          <c:idx val="0"/>
          <c:order val="0"/>
          <c:tx>
            <c:strRef>
              <c:f>'pivot report'!$E$2</c:f>
              <c:strCache>
                <c:ptCount val="1"/>
                <c:pt idx="0">
                  <c:v>Total</c:v>
                </c:pt>
              </c:strCache>
            </c:strRef>
          </c:tx>
          <c:spPr>
            <a:solidFill>
              <a:schemeClr val="accent1"/>
            </a:solidFill>
            <a:ln w="25400">
              <a:noFill/>
            </a:ln>
            <a:effectLst/>
          </c:spPr>
          <c:cat>
            <c:strRef>
              <c:f>'pivot report'!$D$3:$D$34</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report'!$E$3:$E$34</c:f>
              <c:numCache>
                <c:formatCode>General</c:formatCode>
                <c:ptCount val="31"/>
                <c:pt idx="0">
                  <c:v>14</c:v>
                </c:pt>
                <c:pt idx="1">
                  <c:v>15</c:v>
                </c:pt>
                <c:pt idx="2">
                  <c:v>17</c:v>
                </c:pt>
                <c:pt idx="3">
                  <c:v>12</c:v>
                </c:pt>
                <c:pt idx="4">
                  <c:v>23</c:v>
                </c:pt>
                <c:pt idx="5">
                  <c:v>10</c:v>
                </c:pt>
                <c:pt idx="6">
                  <c:v>18</c:v>
                </c:pt>
                <c:pt idx="7">
                  <c:v>11</c:v>
                </c:pt>
                <c:pt idx="8">
                  <c:v>12</c:v>
                </c:pt>
                <c:pt idx="9">
                  <c:v>24</c:v>
                </c:pt>
                <c:pt idx="10">
                  <c:v>16</c:v>
                </c:pt>
                <c:pt idx="11">
                  <c:v>21</c:v>
                </c:pt>
                <c:pt idx="12">
                  <c:v>16</c:v>
                </c:pt>
                <c:pt idx="13">
                  <c:v>15</c:v>
                </c:pt>
                <c:pt idx="14">
                  <c:v>14</c:v>
                </c:pt>
                <c:pt idx="15">
                  <c:v>18</c:v>
                </c:pt>
                <c:pt idx="16">
                  <c:v>12</c:v>
                </c:pt>
                <c:pt idx="17">
                  <c:v>18</c:v>
                </c:pt>
                <c:pt idx="18">
                  <c:v>16</c:v>
                </c:pt>
                <c:pt idx="19">
                  <c:v>22</c:v>
                </c:pt>
                <c:pt idx="20">
                  <c:v>16</c:v>
                </c:pt>
                <c:pt idx="21">
                  <c:v>10</c:v>
                </c:pt>
                <c:pt idx="22">
                  <c:v>18</c:v>
                </c:pt>
                <c:pt idx="23">
                  <c:v>13</c:v>
                </c:pt>
                <c:pt idx="24">
                  <c:v>20</c:v>
                </c:pt>
                <c:pt idx="25">
                  <c:v>17</c:v>
                </c:pt>
                <c:pt idx="26">
                  <c:v>19</c:v>
                </c:pt>
                <c:pt idx="27">
                  <c:v>17</c:v>
                </c:pt>
                <c:pt idx="28">
                  <c:v>22</c:v>
                </c:pt>
                <c:pt idx="29">
                  <c:v>9</c:v>
                </c:pt>
                <c:pt idx="30">
                  <c:v>9</c:v>
                </c:pt>
              </c:numCache>
            </c:numRef>
          </c:val>
          <c:extLst>
            <c:ext xmlns:c16="http://schemas.microsoft.com/office/drawing/2014/chart" uri="{C3380CC4-5D6E-409C-BE32-E72D297353CC}">
              <c16:uniqueId val="{00000000-2E25-4D2A-B7EB-CF6BCACE2257}"/>
            </c:ext>
          </c:extLst>
        </c:ser>
        <c:dLbls>
          <c:showLegendKey val="0"/>
          <c:showVal val="0"/>
          <c:showCatName val="0"/>
          <c:showSerName val="0"/>
          <c:showPercent val="0"/>
          <c:showBubbleSize val="0"/>
        </c:dLbls>
        <c:axId val="929443408"/>
        <c:axId val="929443736"/>
      </c:areaChart>
      <c:catAx>
        <c:axId val="929443408"/>
        <c:scaling>
          <c:orientation val="minMax"/>
        </c:scaling>
        <c:delete val="1"/>
        <c:axPos val="b"/>
        <c:numFmt formatCode="General" sourceLinked="1"/>
        <c:majorTickMark val="out"/>
        <c:minorTickMark val="none"/>
        <c:tickLblPos val="nextTo"/>
        <c:crossAx val="929443736"/>
        <c:crosses val="autoZero"/>
        <c:auto val="1"/>
        <c:lblAlgn val="ctr"/>
        <c:lblOffset val="100"/>
        <c:noMultiLvlLbl val="0"/>
      </c:catAx>
      <c:valAx>
        <c:axId val="929443736"/>
        <c:scaling>
          <c:orientation val="minMax"/>
        </c:scaling>
        <c:delete val="1"/>
        <c:axPos val="l"/>
        <c:numFmt formatCode="General" sourceLinked="1"/>
        <c:majorTickMark val="none"/>
        <c:minorTickMark val="none"/>
        <c:tickLblPos val="nextTo"/>
        <c:crossAx val="929443408"/>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report!PivotTable5</c:name>
    <c:fmtId val="15"/>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pivotFmt>
      <c:pivotFmt>
        <c:idx val="6"/>
        <c:spPr>
          <a:solidFill>
            <a:schemeClr val="accent1"/>
          </a:solidFill>
          <a:ln w="25400">
            <a:noFill/>
          </a:ln>
          <a:effectLst/>
        </c:spPr>
        <c:marker>
          <c:symbol val="none"/>
        </c:marker>
      </c:pivotFmt>
    </c:pivotFmts>
    <c:plotArea>
      <c:layout>
        <c:manualLayout>
          <c:layoutTarget val="inner"/>
          <c:xMode val="edge"/>
          <c:yMode val="edge"/>
          <c:x val="5.9529199475065617E-2"/>
          <c:y val="0.1610536091502702"/>
          <c:w val="0.88498560841659502"/>
          <c:h val="0.7189645797544979"/>
        </c:manualLayout>
      </c:layout>
      <c:areaChart>
        <c:grouping val="standard"/>
        <c:varyColors val="0"/>
        <c:ser>
          <c:idx val="0"/>
          <c:order val="0"/>
          <c:tx>
            <c:strRef>
              <c:f>'pivot report'!$I$2</c:f>
              <c:strCache>
                <c:ptCount val="1"/>
                <c:pt idx="0">
                  <c:v>Total</c:v>
                </c:pt>
              </c:strCache>
            </c:strRef>
          </c:tx>
          <c:spPr>
            <a:solidFill>
              <a:schemeClr val="accent1"/>
            </a:solidFill>
            <a:ln w="25400">
              <a:noFill/>
            </a:ln>
            <a:effectLst/>
          </c:spPr>
          <c:cat>
            <c:strRef>
              <c:f>'pivot report'!$H$3:$H$34</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report'!$I$3:$I$34</c:f>
              <c:numCache>
                <c:formatCode>General</c:formatCode>
                <c:ptCount val="31"/>
                <c:pt idx="0">
                  <c:v>35.714285714285715</c:v>
                </c:pt>
                <c:pt idx="1">
                  <c:v>38.533333333333331</c:v>
                </c:pt>
                <c:pt idx="2">
                  <c:v>38.941176470588232</c:v>
                </c:pt>
                <c:pt idx="3">
                  <c:v>35.666666666666664</c:v>
                </c:pt>
                <c:pt idx="4">
                  <c:v>39.478260869565219</c:v>
                </c:pt>
                <c:pt idx="5">
                  <c:v>25.1</c:v>
                </c:pt>
                <c:pt idx="6">
                  <c:v>43.666666666666664</c:v>
                </c:pt>
                <c:pt idx="7">
                  <c:v>38.090909090909093</c:v>
                </c:pt>
                <c:pt idx="8">
                  <c:v>28.25</c:v>
                </c:pt>
                <c:pt idx="9">
                  <c:v>36.291666666666664</c:v>
                </c:pt>
                <c:pt idx="10">
                  <c:v>31.875</c:v>
                </c:pt>
                <c:pt idx="11">
                  <c:v>32.333333333333336</c:v>
                </c:pt>
                <c:pt idx="12">
                  <c:v>36.3125</c:v>
                </c:pt>
                <c:pt idx="13">
                  <c:v>41.133333333333333</c:v>
                </c:pt>
                <c:pt idx="14">
                  <c:v>32.071428571428569</c:v>
                </c:pt>
                <c:pt idx="15">
                  <c:v>34.222222222222221</c:v>
                </c:pt>
                <c:pt idx="16">
                  <c:v>43.666666666666664</c:v>
                </c:pt>
                <c:pt idx="17">
                  <c:v>38.5</c:v>
                </c:pt>
                <c:pt idx="18">
                  <c:v>32.6875</c:v>
                </c:pt>
                <c:pt idx="19">
                  <c:v>41.045454545454547</c:v>
                </c:pt>
                <c:pt idx="20">
                  <c:v>36.6875</c:v>
                </c:pt>
                <c:pt idx="21">
                  <c:v>38.5</c:v>
                </c:pt>
                <c:pt idx="22">
                  <c:v>33.777777777777779</c:v>
                </c:pt>
                <c:pt idx="23">
                  <c:v>41.692307692307693</c:v>
                </c:pt>
                <c:pt idx="24">
                  <c:v>31.7</c:v>
                </c:pt>
                <c:pt idx="25">
                  <c:v>36.470588235294116</c:v>
                </c:pt>
                <c:pt idx="26">
                  <c:v>37.210526315789473</c:v>
                </c:pt>
                <c:pt idx="27">
                  <c:v>36.294117647058826</c:v>
                </c:pt>
                <c:pt idx="28">
                  <c:v>32</c:v>
                </c:pt>
                <c:pt idx="29">
                  <c:v>41.444444444444443</c:v>
                </c:pt>
                <c:pt idx="30">
                  <c:v>40.444444444444443</c:v>
                </c:pt>
              </c:numCache>
            </c:numRef>
          </c:val>
          <c:extLst>
            <c:ext xmlns:c16="http://schemas.microsoft.com/office/drawing/2014/chart" uri="{C3380CC4-5D6E-409C-BE32-E72D297353CC}">
              <c16:uniqueId val="{00000000-5CD1-4E04-8A73-B0E39BDAA55A}"/>
            </c:ext>
          </c:extLst>
        </c:ser>
        <c:dLbls>
          <c:showLegendKey val="0"/>
          <c:showVal val="0"/>
          <c:showCatName val="0"/>
          <c:showSerName val="0"/>
          <c:showPercent val="0"/>
          <c:showBubbleSize val="0"/>
        </c:dLbls>
        <c:axId val="668775224"/>
        <c:axId val="660445008"/>
      </c:areaChart>
      <c:catAx>
        <c:axId val="668775224"/>
        <c:scaling>
          <c:orientation val="minMax"/>
        </c:scaling>
        <c:delete val="1"/>
        <c:axPos val="b"/>
        <c:numFmt formatCode="General" sourceLinked="1"/>
        <c:majorTickMark val="out"/>
        <c:minorTickMark val="none"/>
        <c:tickLblPos val="nextTo"/>
        <c:crossAx val="660445008"/>
        <c:crosses val="autoZero"/>
        <c:auto val="1"/>
        <c:lblAlgn val="ctr"/>
        <c:lblOffset val="100"/>
        <c:noMultiLvlLbl val="0"/>
      </c:catAx>
      <c:valAx>
        <c:axId val="660445008"/>
        <c:scaling>
          <c:orientation val="minMax"/>
        </c:scaling>
        <c:delete val="1"/>
        <c:axPos val="l"/>
        <c:numFmt formatCode="General" sourceLinked="1"/>
        <c:majorTickMark val="out"/>
        <c:minorTickMark val="none"/>
        <c:tickLblPos val="nextTo"/>
        <c:crossAx val="668775224"/>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sz="105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report!PivotTable6</c:name>
    <c:fmtId val="25"/>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5400">
            <a:noFill/>
          </a:ln>
          <a:effectLst/>
        </c:spPr>
        <c:marker>
          <c:symbol val="none"/>
        </c:marker>
      </c:pivotFmt>
      <c:pivotFmt>
        <c:idx val="4"/>
        <c:spPr>
          <a:solidFill>
            <a:schemeClr val="accent1"/>
          </a:solidFill>
          <a:ln w="25400">
            <a:noFill/>
          </a:ln>
          <a:effectLst/>
        </c:spPr>
        <c:marker>
          <c:symbol val="none"/>
        </c:marker>
      </c:pivotFmt>
      <c:pivotFmt>
        <c:idx val="5"/>
        <c:spPr>
          <a:solidFill>
            <a:schemeClr val="accent1"/>
          </a:solidFill>
          <a:ln w="25400">
            <a:noFill/>
          </a:ln>
          <a:effectLst/>
        </c:spPr>
        <c:marker>
          <c:symbol val="none"/>
        </c:marker>
      </c:pivotFmt>
    </c:pivotFmts>
    <c:plotArea>
      <c:layout>
        <c:manualLayout>
          <c:layoutTarget val="inner"/>
          <c:xMode val="edge"/>
          <c:yMode val="edge"/>
          <c:x val="8.4330927384076992E-2"/>
          <c:y val="0.11513670166229219"/>
          <c:w val="0.73324059492563431"/>
          <c:h val="0.46112459900845726"/>
        </c:manualLayout>
      </c:layout>
      <c:areaChart>
        <c:grouping val="standard"/>
        <c:varyColors val="0"/>
        <c:ser>
          <c:idx val="0"/>
          <c:order val="0"/>
          <c:tx>
            <c:strRef>
              <c:f>'pivot report'!$L$2</c:f>
              <c:strCache>
                <c:ptCount val="1"/>
                <c:pt idx="0">
                  <c:v>Total</c:v>
                </c:pt>
              </c:strCache>
            </c:strRef>
          </c:tx>
          <c:spPr>
            <a:solidFill>
              <a:schemeClr val="accent1"/>
            </a:solidFill>
            <a:ln w="25400">
              <a:noFill/>
            </a:ln>
            <a:effectLst/>
          </c:spPr>
          <c:cat>
            <c:strRef>
              <c:f>'pivot report'!$K$3:$K$34</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report'!$L$3:$L$34</c:f>
              <c:numCache>
                <c:formatCode>0.00</c:formatCode>
                <c:ptCount val="31"/>
                <c:pt idx="0">
                  <c:v>8</c:v>
                </c:pt>
                <c:pt idx="1">
                  <c:v>4</c:v>
                </c:pt>
                <c:pt idx="2">
                  <c:v>5.333333333333333</c:v>
                </c:pt>
                <c:pt idx="3">
                  <c:v>4.666666666666667</c:v>
                </c:pt>
                <c:pt idx="4">
                  <c:v>6.2</c:v>
                </c:pt>
                <c:pt idx="5">
                  <c:v>6.333333333333333</c:v>
                </c:pt>
                <c:pt idx="6">
                  <c:v>9.5</c:v>
                </c:pt>
                <c:pt idx="7">
                  <c:v>2</c:v>
                </c:pt>
                <c:pt idx="8">
                  <c:v>6.666666666666667</c:v>
                </c:pt>
                <c:pt idx="9">
                  <c:v>2.25</c:v>
                </c:pt>
                <c:pt idx="10">
                  <c:v>3</c:v>
                </c:pt>
                <c:pt idx="11">
                  <c:v>4.7142857142857144</c:v>
                </c:pt>
                <c:pt idx="12">
                  <c:v>10</c:v>
                </c:pt>
                <c:pt idx="13">
                  <c:v>5.666666666666667</c:v>
                </c:pt>
                <c:pt idx="14">
                  <c:v>5</c:v>
                </c:pt>
                <c:pt idx="15">
                  <c:v>3</c:v>
                </c:pt>
                <c:pt idx="16">
                  <c:v>5.333333333333333</c:v>
                </c:pt>
                <c:pt idx="17">
                  <c:v>5.833333333333333</c:v>
                </c:pt>
                <c:pt idx="18">
                  <c:v>5.8</c:v>
                </c:pt>
                <c:pt idx="19">
                  <c:v>5.2</c:v>
                </c:pt>
                <c:pt idx="20">
                  <c:v>4.5</c:v>
                </c:pt>
                <c:pt idx="21">
                  <c:v>6</c:v>
                </c:pt>
                <c:pt idx="22">
                  <c:v>6.5</c:v>
                </c:pt>
                <c:pt idx="23">
                  <c:v>4.166666666666667</c:v>
                </c:pt>
                <c:pt idx="24">
                  <c:v>3.6666666666666665</c:v>
                </c:pt>
                <c:pt idx="25">
                  <c:v>3.5</c:v>
                </c:pt>
                <c:pt idx="26">
                  <c:v>6</c:v>
                </c:pt>
                <c:pt idx="27">
                  <c:v>5.1428571428571432</c:v>
                </c:pt>
                <c:pt idx="28">
                  <c:v>4</c:v>
                </c:pt>
                <c:pt idx="29">
                  <c:v>3.5</c:v>
                </c:pt>
                <c:pt idx="30">
                  <c:v>5</c:v>
                </c:pt>
              </c:numCache>
            </c:numRef>
          </c:val>
          <c:extLst>
            <c:ext xmlns:c16="http://schemas.microsoft.com/office/drawing/2014/chart" uri="{C3380CC4-5D6E-409C-BE32-E72D297353CC}">
              <c16:uniqueId val="{00000000-097E-4CA6-A5EE-BD47B2F5E933}"/>
            </c:ext>
          </c:extLst>
        </c:ser>
        <c:dLbls>
          <c:showLegendKey val="0"/>
          <c:showVal val="0"/>
          <c:showCatName val="0"/>
          <c:showSerName val="0"/>
          <c:showPercent val="0"/>
          <c:showBubbleSize val="0"/>
        </c:dLbls>
        <c:axId val="567939992"/>
        <c:axId val="567944584"/>
      </c:areaChart>
      <c:catAx>
        <c:axId val="567939992"/>
        <c:scaling>
          <c:orientation val="minMax"/>
        </c:scaling>
        <c:delete val="1"/>
        <c:axPos val="b"/>
        <c:numFmt formatCode="General" sourceLinked="1"/>
        <c:majorTickMark val="out"/>
        <c:minorTickMark val="none"/>
        <c:tickLblPos val="nextTo"/>
        <c:crossAx val="567944584"/>
        <c:crosses val="autoZero"/>
        <c:auto val="1"/>
        <c:lblAlgn val="ctr"/>
        <c:lblOffset val="100"/>
        <c:noMultiLvlLbl val="0"/>
      </c:catAx>
      <c:valAx>
        <c:axId val="567944584"/>
        <c:scaling>
          <c:orientation val="minMax"/>
        </c:scaling>
        <c:delete val="1"/>
        <c:axPos val="l"/>
        <c:numFmt formatCode="0.00" sourceLinked="1"/>
        <c:majorTickMark val="none"/>
        <c:minorTickMark val="none"/>
        <c:tickLblPos val="nextTo"/>
        <c:crossAx val="567939992"/>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report!PivotTable8</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report'!$B$17</c:f>
              <c:strCache>
                <c:ptCount val="1"/>
                <c:pt idx="0">
                  <c:v>Total</c:v>
                </c:pt>
              </c:strCache>
            </c:strRef>
          </c:tx>
          <c:spPr>
            <a:solidFill>
              <a:schemeClr val="accent1"/>
            </a:solidFill>
            <a:ln>
              <a:noFill/>
            </a:ln>
            <a:effectLst/>
          </c:spPr>
          <c:invertIfNegative val="0"/>
          <c:cat>
            <c:strRef>
              <c:f>'pivot report'!$A$18:$A$26</c:f>
              <c:strCache>
                <c:ptCount val="8"/>
                <c:pt idx="0">
                  <c:v>0-9</c:v>
                </c:pt>
                <c:pt idx="1">
                  <c:v>10-19</c:v>
                </c:pt>
                <c:pt idx="2">
                  <c:v>20-29</c:v>
                </c:pt>
                <c:pt idx="3">
                  <c:v>30-39</c:v>
                </c:pt>
                <c:pt idx="4">
                  <c:v>40-49</c:v>
                </c:pt>
                <c:pt idx="5">
                  <c:v>50-59</c:v>
                </c:pt>
                <c:pt idx="6">
                  <c:v>60-69</c:v>
                </c:pt>
                <c:pt idx="7">
                  <c:v>70-79</c:v>
                </c:pt>
              </c:strCache>
            </c:strRef>
          </c:cat>
          <c:val>
            <c:numRef>
              <c:f>'pivot report'!$B$18:$B$26</c:f>
              <c:numCache>
                <c:formatCode>0.00</c:formatCode>
                <c:ptCount val="8"/>
                <c:pt idx="0">
                  <c:v>64</c:v>
                </c:pt>
                <c:pt idx="1">
                  <c:v>74</c:v>
                </c:pt>
                <c:pt idx="2">
                  <c:v>54</c:v>
                </c:pt>
                <c:pt idx="3">
                  <c:v>73</c:v>
                </c:pt>
                <c:pt idx="4">
                  <c:v>62</c:v>
                </c:pt>
                <c:pt idx="5">
                  <c:v>53</c:v>
                </c:pt>
                <c:pt idx="6">
                  <c:v>62</c:v>
                </c:pt>
                <c:pt idx="7">
                  <c:v>52</c:v>
                </c:pt>
              </c:numCache>
            </c:numRef>
          </c:val>
          <c:extLst>
            <c:ext xmlns:c16="http://schemas.microsoft.com/office/drawing/2014/chart" uri="{C3380CC4-5D6E-409C-BE32-E72D297353CC}">
              <c16:uniqueId val="{00000000-86D6-41A9-AB96-5A8279ACA5F6}"/>
            </c:ext>
          </c:extLst>
        </c:ser>
        <c:dLbls>
          <c:showLegendKey val="0"/>
          <c:showVal val="0"/>
          <c:showCatName val="0"/>
          <c:showSerName val="0"/>
          <c:showPercent val="0"/>
          <c:showBubbleSize val="0"/>
        </c:dLbls>
        <c:gapWidth val="219"/>
        <c:overlap val="-27"/>
        <c:axId val="673104504"/>
        <c:axId val="673099912"/>
      </c:barChart>
      <c:catAx>
        <c:axId val="673104504"/>
        <c:scaling>
          <c:orientation val="minMax"/>
        </c:scaling>
        <c:delete val="1"/>
        <c:axPos val="b"/>
        <c:numFmt formatCode="General" sourceLinked="1"/>
        <c:majorTickMark val="none"/>
        <c:minorTickMark val="none"/>
        <c:tickLblPos val="nextTo"/>
        <c:crossAx val="673099912"/>
        <c:crosses val="autoZero"/>
        <c:auto val="1"/>
        <c:lblAlgn val="ctr"/>
        <c:lblOffset val="100"/>
        <c:noMultiLvlLbl val="0"/>
      </c:catAx>
      <c:valAx>
        <c:axId val="673099912"/>
        <c:scaling>
          <c:orientation val="minMax"/>
        </c:scaling>
        <c:delete val="1"/>
        <c:axPos val="l"/>
        <c:numFmt formatCode="0.00" sourceLinked="1"/>
        <c:majorTickMark val="none"/>
        <c:minorTickMark val="none"/>
        <c:tickLblPos val="nextTo"/>
        <c:crossAx val="673104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report!PivotTable9</c:name>
    <c:fmtId val="5"/>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report'!$P$1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DE2-4A5D-8C5C-5A9CF337BCC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DE2-4A5D-8C5C-5A9CF337BCC9}"/>
              </c:ext>
            </c:extLst>
          </c:dPt>
          <c:cat>
            <c:strRef>
              <c:f>'pivot report'!$O$2:$O$4</c:f>
              <c:strCache>
                <c:ptCount val="2"/>
                <c:pt idx="0">
                  <c:v>Delay</c:v>
                </c:pt>
                <c:pt idx="1">
                  <c:v>on time</c:v>
                </c:pt>
              </c:strCache>
            </c:strRef>
          </c:cat>
          <c:val>
            <c:numRef>
              <c:f>'pivot report'!$P$2:$P$4</c:f>
              <c:numCache>
                <c:formatCode>0.00</c:formatCode>
                <c:ptCount val="2"/>
                <c:pt idx="0">
                  <c:v>321</c:v>
                </c:pt>
                <c:pt idx="1">
                  <c:v>173</c:v>
                </c:pt>
              </c:numCache>
            </c:numRef>
          </c:val>
          <c:extLst>
            <c:ext xmlns:c16="http://schemas.microsoft.com/office/drawing/2014/chart" uri="{C3380CC4-5D6E-409C-BE32-E72D297353CC}">
              <c16:uniqueId val="{00000004-C6C6-4E92-A08B-8C81ADB9506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report!PivotTable10</c:name>
    <c:fmtId val="8"/>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report'!$B$28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523-4A30-AA42-82FE24748F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523-4A30-AA42-82FE24748F57}"/>
              </c:ext>
            </c:extLst>
          </c:dPt>
          <c:cat>
            <c:strRef>
              <c:f>'pivot report'!$A$29:$A$31</c:f>
              <c:strCache>
                <c:ptCount val="2"/>
                <c:pt idx="0">
                  <c:v>Female</c:v>
                </c:pt>
                <c:pt idx="1">
                  <c:v>Male</c:v>
                </c:pt>
              </c:strCache>
            </c:strRef>
          </c:cat>
          <c:val>
            <c:numRef>
              <c:f>'pivot report'!$B$29:$B$31</c:f>
              <c:numCache>
                <c:formatCode>0.00</c:formatCode>
                <c:ptCount val="2"/>
                <c:pt idx="0">
                  <c:v>241</c:v>
                </c:pt>
                <c:pt idx="1">
                  <c:v>253</c:v>
                </c:pt>
              </c:numCache>
            </c:numRef>
          </c:val>
          <c:extLst>
            <c:ext xmlns:c16="http://schemas.microsoft.com/office/drawing/2014/chart" uri="{C3380CC4-5D6E-409C-BE32-E72D297353CC}">
              <c16:uniqueId val="{00000004-CB44-4D71-A298-DF34F09FF766}"/>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4973380690556459"/>
          <c:y val="0.11330438215554681"/>
          <c:w val="0.2556104077750726"/>
          <c:h val="0.38340383133119021"/>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8" Type="http://schemas.openxmlformats.org/officeDocument/2006/relationships/image" Target="../media/image2.emf"/><Relationship Id="rId13" Type="http://schemas.openxmlformats.org/officeDocument/2006/relationships/image" Target="../media/image4.jpeg"/><Relationship Id="rId3" Type="http://schemas.openxmlformats.org/officeDocument/2006/relationships/chart" Target="../charts/chart6.xml"/><Relationship Id="rId7" Type="http://schemas.openxmlformats.org/officeDocument/2006/relationships/chart" Target="../charts/chart8.xml"/><Relationship Id="rId12" Type="http://schemas.openxmlformats.org/officeDocument/2006/relationships/image" Target="../media/image3.jpeg"/><Relationship Id="rId2" Type="http://schemas.openxmlformats.org/officeDocument/2006/relationships/hyperlink" Target="#'Patient Trendline '!A1"/><Relationship Id="rId1" Type="http://schemas.openxmlformats.org/officeDocument/2006/relationships/hyperlink" Target="#'Patient Wait-Time'!A1"/><Relationship Id="rId6" Type="http://schemas.openxmlformats.org/officeDocument/2006/relationships/hyperlink" Target="#'Patient Satisfaction score'!A1"/><Relationship Id="rId11" Type="http://schemas.openxmlformats.org/officeDocument/2006/relationships/chart" Target="../charts/chart11.xml"/><Relationship Id="rId5" Type="http://schemas.openxmlformats.org/officeDocument/2006/relationships/image" Target="../media/image1.png"/><Relationship Id="rId15" Type="http://schemas.openxmlformats.org/officeDocument/2006/relationships/image" Target="../media/image6.png"/><Relationship Id="rId10" Type="http://schemas.openxmlformats.org/officeDocument/2006/relationships/chart" Target="../charts/chart10.xml"/><Relationship Id="rId4" Type="http://schemas.openxmlformats.org/officeDocument/2006/relationships/chart" Target="../charts/chart7.xml"/><Relationship Id="rId9" Type="http://schemas.openxmlformats.org/officeDocument/2006/relationships/chart" Target="../charts/chart9.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579120</xdr:colOff>
      <xdr:row>29</xdr:row>
      <xdr:rowOff>175260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7620</xdr:colOff>
      <xdr:row>2</xdr:row>
      <xdr:rowOff>121920</xdr:rowOff>
    </xdr:from>
    <xdr:to>
      <xdr:col>22</xdr:col>
      <xdr:colOff>236220</xdr:colOff>
      <xdr:row>5</xdr:row>
      <xdr:rowOff>68580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6803</xdr:colOff>
      <xdr:row>0</xdr:row>
      <xdr:rowOff>0</xdr:rowOff>
    </xdr:from>
    <xdr:to>
      <xdr:col>17</xdr:col>
      <xdr:colOff>530677</xdr:colOff>
      <xdr:row>23</xdr:row>
      <xdr:rowOff>167640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83820</xdr:rowOff>
    </xdr:from>
    <xdr:to>
      <xdr:col>21</xdr:col>
      <xdr:colOff>533400</xdr:colOff>
      <xdr:row>24</xdr:row>
      <xdr:rowOff>144780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594360</xdr:colOff>
      <xdr:row>24</xdr:row>
      <xdr:rowOff>152400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27709</xdr:colOff>
      <xdr:row>0</xdr:row>
      <xdr:rowOff>50800</xdr:rowOff>
    </xdr:from>
    <xdr:to>
      <xdr:col>4</xdr:col>
      <xdr:colOff>64654</xdr:colOff>
      <xdr:row>2</xdr:row>
      <xdr:rowOff>147781</xdr:rowOff>
    </xdr:to>
    <xdr:sp macro="" textlink="">
      <xdr:nvSpPr>
        <xdr:cNvPr id="2" name="Rounded Rectangle 1"/>
        <xdr:cNvSpPr/>
      </xdr:nvSpPr>
      <xdr:spPr>
        <a:xfrm>
          <a:off x="27709" y="50800"/>
          <a:ext cx="2475345" cy="466436"/>
        </a:xfrm>
        <a:prstGeom prst="roundRect">
          <a:avLst/>
        </a:prstGeom>
        <a:solidFill>
          <a:sysClr val="window" lastClr="FFFFFF"/>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noFill/>
          </a:endParaRPr>
        </a:p>
      </xdr:txBody>
    </xdr:sp>
    <xdr:clientData/>
  </xdr:twoCellAnchor>
  <xdr:twoCellAnchor>
    <xdr:from>
      <xdr:col>0</xdr:col>
      <xdr:colOff>41563</xdr:colOff>
      <xdr:row>3</xdr:row>
      <xdr:rowOff>4618</xdr:rowOff>
    </xdr:from>
    <xdr:to>
      <xdr:col>1</xdr:col>
      <xdr:colOff>332509</xdr:colOff>
      <xdr:row>14</xdr:row>
      <xdr:rowOff>124691</xdr:rowOff>
    </xdr:to>
    <xdr:sp macro="" textlink="">
      <xdr:nvSpPr>
        <xdr:cNvPr id="3" name="Rectangle 2"/>
        <xdr:cNvSpPr/>
      </xdr:nvSpPr>
      <xdr:spPr>
        <a:xfrm>
          <a:off x="41563" y="558800"/>
          <a:ext cx="900546" cy="2152073"/>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xdr:from>
      <xdr:col>4</xdr:col>
      <xdr:colOff>101601</xdr:colOff>
      <xdr:row>0</xdr:row>
      <xdr:rowOff>27709</xdr:rowOff>
    </xdr:from>
    <xdr:to>
      <xdr:col>5</xdr:col>
      <xdr:colOff>350983</xdr:colOff>
      <xdr:row>4</xdr:row>
      <xdr:rowOff>110835</xdr:rowOff>
    </xdr:to>
    <xdr:sp macro="" textlink="">
      <xdr:nvSpPr>
        <xdr:cNvPr id="4" name="Rounded Rectangle 3"/>
        <xdr:cNvSpPr/>
      </xdr:nvSpPr>
      <xdr:spPr>
        <a:xfrm>
          <a:off x="2540001" y="27709"/>
          <a:ext cx="858982" cy="822035"/>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xdr:from>
      <xdr:col>5</xdr:col>
      <xdr:colOff>364836</xdr:colOff>
      <xdr:row>0</xdr:row>
      <xdr:rowOff>0</xdr:rowOff>
    </xdr:from>
    <xdr:to>
      <xdr:col>7</xdr:col>
      <xdr:colOff>50800</xdr:colOff>
      <xdr:row>4</xdr:row>
      <xdr:rowOff>133927</xdr:rowOff>
    </xdr:to>
    <xdr:sp macro="" textlink="">
      <xdr:nvSpPr>
        <xdr:cNvPr id="5" name="Rounded Rectangle 4"/>
        <xdr:cNvSpPr/>
      </xdr:nvSpPr>
      <xdr:spPr>
        <a:xfrm>
          <a:off x="3412836" y="0"/>
          <a:ext cx="905164" cy="872836"/>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xdr:from>
      <xdr:col>7</xdr:col>
      <xdr:colOff>83128</xdr:colOff>
      <xdr:row>0</xdr:row>
      <xdr:rowOff>36945</xdr:rowOff>
    </xdr:from>
    <xdr:to>
      <xdr:col>8</xdr:col>
      <xdr:colOff>355600</xdr:colOff>
      <xdr:row>4</xdr:row>
      <xdr:rowOff>92364</xdr:rowOff>
    </xdr:to>
    <xdr:sp macro="" textlink="">
      <xdr:nvSpPr>
        <xdr:cNvPr id="6" name="Rounded Rectangle 5"/>
        <xdr:cNvSpPr/>
      </xdr:nvSpPr>
      <xdr:spPr>
        <a:xfrm>
          <a:off x="4350328" y="36945"/>
          <a:ext cx="882072" cy="794328"/>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xdr:from>
      <xdr:col>4</xdr:col>
      <xdr:colOff>64654</xdr:colOff>
      <xdr:row>5</xdr:row>
      <xdr:rowOff>64654</xdr:rowOff>
    </xdr:from>
    <xdr:to>
      <xdr:col>8</xdr:col>
      <xdr:colOff>286327</xdr:colOff>
      <xdr:row>8</xdr:row>
      <xdr:rowOff>32328</xdr:rowOff>
    </xdr:to>
    <xdr:sp macro="" textlink="">
      <xdr:nvSpPr>
        <xdr:cNvPr id="7" name="Rounded Rectangle 6">
          <a:hlinkClick xmlns:r="http://schemas.openxmlformats.org/officeDocument/2006/relationships" r:id="rId1"/>
        </xdr:cNvPr>
        <xdr:cNvSpPr/>
      </xdr:nvSpPr>
      <xdr:spPr>
        <a:xfrm>
          <a:off x="2503054" y="988290"/>
          <a:ext cx="2660073" cy="521856"/>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xdr:from>
      <xdr:col>11</xdr:col>
      <xdr:colOff>50800</xdr:colOff>
      <xdr:row>0</xdr:row>
      <xdr:rowOff>0</xdr:rowOff>
    </xdr:from>
    <xdr:to>
      <xdr:col>13</xdr:col>
      <xdr:colOff>281709</xdr:colOff>
      <xdr:row>5</xdr:row>
      <xdr:rowOff>18473</xdr:rowOff>
    </xdr:to>
    <xdr:sp macro="" textlink="">
      <xdr:nvSpPr>
        <xdr:cNvPr id="9" name="Rounded Rectangle 8"/>
        <xdr:cNvSpPr/>
      </xdr:nvSpPr>
      <xdr:spPr>
        <a:xfrm>
          <a:off x="6756400" y="0"/>
          <a:ext cx="1450109" cy="942109"/>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xdr:from>
      <xdr:col>8</xdr:col>
      <xdr:colOff>411017</xdr:colOff>
      <xdr:row>0</xdr:row>
      <xdr:rowOff>0</xdr:rowOff>
    </xdr:from>
    <xdr:to>
      <xdr:col>10</xdr:col>
      <xdr:colOff>531090</xdr:colOff>
      <xdr:row>5</xdr:row>
      <xdr:rowOff>46182</xdr:rowOff>
    </xdr:to>
    <xdr:sp macro="" textlink="">
      <xdr:nvSpPr>
        <xdr:cNvPr id="10" name="Rounded Rectangle 9"/>
        <xdr:cNvSpPr/>
      </xdr:nvSpPr>
      <xdr:spPr>
        <a:xfrm>
          <a:off x="5287817" y="0"/>
          <a:ext cx="1339273" cy="969818"/>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xdr:from>
      <xdr:col>1</xdr:col>
      <xdr:colOff>604981</xdr:colOff>
      <xdr:row>8</xdr:row>
      <xdr:rowOff>138545</xdr:rowOff>
    </xdr:from>
    <xdr:to>
      <xdr:col>7</xdr:col>
      <xdr:colOff>73891</xdr:colOff>
      <xdr:row>14</xdr:row>
      <xdr:rowOff>147781</xdr:rowOff>
    </xdr:to>
    <xdr:sp macro="" textlink="">
      <xdr:nvSpPr>
        <xdr:cNvPr id="11" name="Rounded Rectangle 10"/>
        <xdr:cNvSpPr/>
      </xdr:nvSpPr>
      <xdr:spPr>
        <a:xfrm>
          <a:off x="1214581" y="1616363"/>
          <a:ext cx="3126510" cy="1117600"/>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xdr:from>
      <xdr:col>2</xdr:col>
      <xdr:colOff>32327</xdr:colOff>
      <xdr:row>3</xdr:row>
      <xdr:rowOff>180108</xdr:rowOff>
    </xdr:from>
    <xdr:to>
      <xdr:col>3</xdr:col>
      <xdr:colOff>369454</xdr:colOff>
      <xdr:row>7</xdr:row>
      <xdr:rowOff>161635</xdr:rowOff>
    </xdr:to>
    <xdr:sp macro="" textlink="">
      <xdr:nvSpPr>
        <xdr:cNvPr id="12" name="Rectangle 11"/>
        <xdr:cNvSpPr/>
      </xdr:nvSpPr>
      <xdr:spPr>
        <a:xfrm>
          <a:off x="1251527" y="734290"/>
          <a:ext cx="946727" cy="720436"/>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xdr:from>
      <xdr:col>4</xdr:col>
      <xdr:colOff>235528</xdr:colOff>
      <xdr:row>0</xdr:row>
      <xdr:rowOff>83126</xdr:rowOff>
    </xdr:from>
    <xdr:to>
      <xdr:col>5</xdr:col>
      <xdr:colOff>281709</xdr:colOff>
      <xdr:row>2</xdr:row>
      <xdr:rowOff>96980</xdr:rowOff>
    </xdr:to>
    <xdr:sp macro="" textlink="">
      <xdr:nvSpPr>
        <xdr:cNvPr id="15" name="TextBox 14"/>
        <xdr:cNvSpPr txBox="1"/>
      </xdr:nvSpPr>
      <xdr:spPr>
        <a:xfrm>
          <a:off x="2673928" y="83126"/>
          <a:ext cx="655781" cy="3833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1">
              <a:solidFill>
                <a:sysClr val="windowText" lastClr="000000"/>
              </a:solidFill>
            </a:rPr>
            <a:t>No.Of Patients</a:t>
          </a:r>
        </a:p>
      </xdr:txBody>
    </xdr:sp>
    <xdr:clientData/>
  </xdr:twoCellAnchor>
  <xdr:oneCellAnchor>
    <xdr:from>
      <xdr:col>0</xdr:col>
      <xdr:colOff>175491</xdr:colOff>
      <xdr:row>0</xdr:row>
      <xdr:rowOff>83128</xdr:rowOff>
    </xdr:from>
    <xdr:ext cx="2184400" cy="355601"/>
    <xdr:sp macro="" textlink="">
      <xdr:nvSpPr>
        <xdr:cNvPr id="16" name="TextBox 15"/>
        <xdr:cNvSpPr txBox="1"/>
      </xdr:nvSpPr>
      <xdr:spPr>
        <a:xfrm>
          <a:off x="175491" y="83128"/>
          <a:ext cx="2184400" cy="3556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r>
            <a:rPr lang="en-IN" sz="1000" b="1"/>
            <a:t>ABC</a:t>
          </a:r>
          <a:r>
            <a:rPr lang="en-IN" sz="1000" b="1" baseline="0"/>
            <a:t> Hospital </a:t>
          </a:r>
          <a:r>
            <a:rPr lang="en-IN" sz="1000" b="1" baseline="0">
              <a:solidFill>
                <a:sysClr val="windowText" lastClr="000000"/>
              </a:solidFill>
            </a:rPr>
            <a:t>Emergency</a:t>
          </a:r>
          <a:r>
            <a:rPr lang="en-IN" sz="1000" b="1" baseline="0"/>
            <a:t> Room</a:t>
          </a:r>
        </a:p>
        <a:p>
          <a:r>
            <a:rPr lang="en-IN" sz="1000" b="1" baseline="0"/>
            <a:t> Analysis (Monthly Report)</a:t>
          </a:r>
          <a:endParaRPr lang="en-IN" sz="1000" b="1"/>
        </a:p>
      </xdr:txBody>
    </xdr:sp>
    <xdr:clientData/>
  </xdr:oneCellAnchor>
  <xdr:oneCellAnchor>
    <xdr:from>
      <xdr:col>5</xdr:col>
      <xdr:colOff>498764</xdr:colOff>
      <xdr:row>0</xdr:row>
      <xdr:rowOff>78510</xdr:rowOff>
    </xdr:from>
    <xdr:ext cx="725054" cy="392545"/>
    <xdr:sp macro="" textlink="">
      <xdr:nvSpPr>
        <xdr:cNvPr id="19" name="TextBox 18"/>
        <xdr:cNvSpPr txBox="1"/>
      </xdr:nvSpPr>
      <xdr:spPr>
        <a:xfrm>
          <a:off x="3546764" y="78510"/>
          <a:ext cx="725054" cy="3925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r>
            <a:rPr lang="en-IN" sz="800" b="1"/>
            <a:t>Average</a:t>
          </a:r>
          <a:r>
            <a:rPr lang="en-IN" sz="800" b="1" baseline="0"/>
            <a:t> Of Patient Wait-Time</a:t>
          </a:r>
          <a:endParaRPr lang="en-IN" sz="800" b="1"/>
        </a:p>
      </xdr:txBody>
    </xdr:sp>
    <xdr:clientData/>
  </xdr:oneCellAnchor>
  <xdr:oneCellAnchor>
    <xdr:from>
      <xdr:col>7</xdr:col>
      <xdr:colOff>166254</xdr:colOff>
      <xdr:row>0</xdr:row>
      <xdr:rowOff>78509</xdr:rowOff>
    </xdr:from>
    <xdr:ext cx="678874" cy="498765"/>
    <xdr:sp macro="" textlink="">
      <xdr:nvSpPr>
        <xdr:cNvPr id="20" name="TextBox 19"/>
        <xdr:cNvSpPr txBox="1"/>
      </xdr:nvSpPr>
      <xdr:spPr>
        <a:xfrm>
          <a:off x="4433454" y="78509"/>
          <a:ext cx="678874" cy="49876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r>
            <a:rPr lang="en-IN" sz="800" b="1"/>
            <a:t>Avg</a:t>
          </a:r>
          <a:r>
            <a:rPr lang="en-IN" sz="800" b="1" baseline="0"/>
            <a:t> Patient Satisfaction Score</a:t>
          </a:r>
          <a:r>
            <a:rPr lang="en-IN" sz="1100" b="0" i="0" u="none" strike="noStrike">
              <a:solidFill>
                <a:schemeClr val="dk1"/>
              </a:solidFill>
              <a:effectLst/>
              <a:latin typeface="+mn-lt"/>
              <a:ea typeface="+mn-ea"/>
              <a:cs typeface="+mn-cs"/>
            </a:rPr>
            <a:t> </a:t>
          </a:r>
          <a:r>
            <a:rPr lang="en-IN" sz="800"/>
            <a:t> </a:t>
          </a:r>
          <a:endParaRPr lang="en-IN" sz="800" b="1"/>
        </a:p>
      </xdr:txBody>
    </xdr:sp>
    <xdr:clientData/>
  </xdr:oneCellAnchor>
  <xdr:oneCellAnchor>
    <xdr:from>
      <xdr:col>4</xdr:col>
      <xdr:colOff>323272</xdr:colOff>
      <xdr:row>2</xdr:row>
      <xdr:rowOff>69272</xdr:rowOff>
    </xdr:from>
    <xdr:ext cx="595745" cy="180109"/>
    <xdr:sp macro="" textlink="'pivot report'!A2">
      <xdr:nvSpPr>
        <xdr:cNvPr id="21" name="TextBox 20"/>
        <xdr:cNvSpPr txBox="1"/>
      </xdr:nvSpPr>
      <xdr:spPr>
        <a:xfrm>
          <a:off x="2761672" y="438727"/>
          <a:ext cx="595745" cy="1801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fld id="{5659D93E-5D0E-4819-BE9D-B0B65013EDB3}" type="TxLink">
            <a:rPr lang="en-US" sz="1100" b="0" i="0" u="none" strike="noStrike">
              <a:solidFill>
                <a:srgbClr val="000000"/>
              </a:solidFill>
              <a:latin typeface="Calibri"/>
              <a:cs typeface="Calibri"/>
            </a:rPr>
            <a:pPr/>
            <a:t>494</a:t>
          </a:fld>
          <a:endParaRPr lang="en-IN" sz="1000"/>
        </a:p>
      </xdr:txBody>
    </xdr:sp>
    <xdr:clientData/>
  </xdr:oneCellAnchor>
  <xdr:twoCellAnchor>
    <xdr:from>
      <xdr:col>5</xdr:col>
      <xdr:colOff>498763</xdr:colOff>
      <xdr:row>2</xdr:row>
      <xdr:rowOff>64654</xdr:rowOff>
    </xdr:from>
    <xdr:to>
      <xdr:col>6</xdr:col>
      <xdr:colOff>494145</xdr:colOff>
      <xdr:row>3</xdr:row>
      <xdr:rowOff>83127</xdr:rowOff>
    </xdr:to>
    <xdr:sp macro="" textlink="'pivot report'!A5">
      <xdr:nvSpPr>
        <xdr:cNvPr id="24" name="TextBox 23"/>
        <xdr:cNvSpPr txBox="1"/>
      </xdr:nvSpPr>
      <xdr:spPr>
        <a:xfrm>
          <a:off x="3546763" y="434109"/>
          <a:ext cx="604982" cy="203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B0A1D67-0CC7-44C0-ABC9-E1159EAFF9D5}" type="TxLink">
            <a:rPr lang="en-US" sz="1100" b="0" i="0" u="none" strike="noStrike">
              <a:solidFill>
                <a:srgbClr val="000000"/>
              </a:solidFill>
              <a:latin typeface="Calibri"/>
              <a:cs typeface="Calibri"/>
            </a:rPr>
            <a:pPr/>
            <a:t>36.39</a:t>
          </a:fld>
          <a:endParaRPr lang="en-IN" sz="1100"/>
        </a:p>
      </xdr:txBody>
    </xdr:sp>
    <xdr:clientData/>
  </xdr:twoCellAnchor>
  <xdr:twoCellAnchor>
    <xdr:from>
      <xdr:col>7</xdr:col>
      <xdr:colOff>203200</xdr:colOff>
      <xdr:row>2</xdr:row>
      <xdr:rowOff>101599</xdr:rowOff>
    </xdr:from>
    <xdr:to>
      <xdr:col>8</xdr:col>
      <xdr:colOff>27709</xdr:colOff>
      <xdr:row>3</xdr:row>
      <xdr:rowOff>157018</xdr:rowOff>
    </xdr:to>
    <xdr:sp macro="" textlink="'pivot report'!A8">
      <xdr:nvSpPr>
        <xdr:cNvPr id="25" name="TextBox 24"/>
        <xdr:cNvSpPr txBox="1"/>
      </xdr:nvSpPr>
      <xdr:spPr>
        <a:xfrm>
          <a:off x="4470400" y="471054"/>
          <a:ext cx="434109" cy="2401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9680134-B778-4208-B044-33281DB09E3C}" type="TxLink">
            <a:rPr lang="en-US" sz="1100" b="0" i="0" u="none" strike="noStrike">
              <a:solidFill>
                <a:srgbClr val="000000"/>
              </a:solidFill>
              <a:latin typeface="Calibri"/>
              <a:cs typeface="Calibri"/>
            </a:rPr>
            <a:pPr/>
            <a:t>5.06</a:t>
          </a:fld>
          <a:endParaRPr lang="en-IN" sz="1100"/>
        </a:p>
      </xdr:txBody>
    </xdr:sp>
    <xdr:clientData/>
  </xdr:twoCellAnchor>
  <xdr:twoCellAnchor editAs="oneCell">
    <xdr:from>
      <xdr:col>0</xdr:col>
      <xdr:colOff>63182</xdr:colOff>
      <xdr:row>3</xdr:row>
      <xdr:rowOff>4619</xdr:rowOff>
    </xdr:from>
    <xdr:to>
      <xdr:col>1</xdr:col>
      <xdr:colOff>338582</xdr:colOff>
      <xdr:row>14</xdr:row>
      <xdr:rowOff>115605</xdr:rowOff>
    </xdr:to>
    <mc:AlternateContent xmlns:mc="http://schemas.openxmlformats.org/markup-compatibility/2006" xmlns:a14="http://schemas.microsoft.com/office/drawing/2010/main">
      <mc:Choice Requires="a14">
        <xdr:graphicFrame macro="">
          <xdr:nvGraphicFramePr>
            <xdr:cNvPr id="26" name="Calender Table (Month)"/>
            <xdr:cNvGraphicFramePr/>
          </xdr:nvGraphicFramePr>
          <xdr:xfrm>
            <a:off x="0" y="0"/>
            <a:ext cx="0" cy="0"/>
          </xdr:xfrm>
          <a:graphic>
            <a:graphicData uri="http://schemas.microsoft.com/office/drawing/2010/slicer">
              <sle:slicer xmlns:sle="http://schemas.microsoft.com/office/drawing/2010/slicer" name="Calender Table (Month)"/>
            </a:graphicData>
          </a:graphic>
        </xdr:graphicFrame>
      </mc:Choice>
      <mc:Fallback xmlns="">
        <xdr:sp macro="" textlink="">
          <xdr:nvSpPr>
            <xdr:cNvPr id="0" name=""/>
            <xdr:cNvSpPr>
              <a:spLocks noTextEdit="1"/>
            </xdr:cNvSpPr>
          </xdr:nvSpPr>
          <xdr:spPr>
            <a:xfrm>
              <a:off x="63182" y="558801"/>
              <a:ext cx="885000" cy="21429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517236</xdr:colOff>
      <xdr:row>4</xdr:row>
      <xdr:rowOff>110838</xdr:rowOff>
    </xdr:from>
    <xdr:to>
      <xdr:col>3</xdr:col>
      <xdr:colOff>503382</xdr:colOff>
      <xdr:row>8</xdr:row>
      <xdr:rowOff>27710</xdr:rowOff>
    </xdr:to>
    <xdr:graphicFrame macro="">
      <xdr:nvGraphicFramePr>
        <xdr:cNvPr id="28" name="Chart 27">
          <a:hlinkClick xmlns:r="http://schemas.openxmlformats.org/officeDocument/2006/relationships" r:id="rId2"/>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50800</xdr:colOff>
      <xdr:row>3</xdr:row>
      <xdr:rowOff>133927</xdr:rowOff>
    </xdr:from>
    <xdr:to>
      <xdr:col>3</xdr:col>
      <xdr:colOff>314036</xdr:colOff>
      <xdr:row>5</xdr:row>
      <xdr:rowOff>129308</xdr:rowOff>
    </xdr:to>
    <xdr:sp macro="" textlink="">
      <xdr:nvSpPr>
        <xdr:cNvPr id="29" name="TextBox 28"/>
        <xdr:cNvSpPr txBox="1"/>
      </xdr:nvSpPr>
      <xdr:spPr>
        <a:xfrm>
          <a:off x="1270000" y="688109"/>
          <a:ext cx="872836" cy="364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700" b="1"/>
            <a:t>Patient</a:t>
          </a:r>
          <a:r>
            <a:rPr lang="en-IN" sz="700" b="1" baseline="0"/>
            <a:t> Trendline By Month</a:t>
          </a:r>
          <a:endParaRPr lang="en-IN" sz="700" b="1"/>
        </a:p>
      </xdr:txBody>
    </xdr:sp>
    <xdr:clientData/>
  </xdr:twoCellAnchor>
  <xdr:twoCellAnchor>
    <xdr:from>
      <xdr:col>4</xdr:col>
      <xdr:colOff>32327</xdr:colOff>
      <xdr:row>5</xdr:row>
      <xdr:rowOff>143164</xdr:rowOff>
    </xdr:from>
    <xdr:to>
      <xdr:col>8</xdr:col>
      <xdr:colOff>203200</xdr:colOff>
      <xdr:row>8</xdr:row>
      <xdr:rowOff>46182</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92363</xdr:colOff>
      <xdr:row>5</xdr:row>
      <xdr:rowOff>64656</xdr:rowOff>
    </xdr:from>
    <xdr:to>
      <xdr:col>6</xdr:col>
      <xdr:colOff>275365</xdr:colOff>
      <xdr:row>6</xdr:row>
      <xdr:rowOff>111596</xdr:rowOff>
    </xdr:to>
    <xdr:pic>
      <xdr:nvPicPr>
        <xdr:cNvPr id="13" name="Picture 12"/>
        <xdr:cNvPicPr>
          <a:picLocks noChangeAspect="1"/>
        </xdr:cNvPicPr>
      </xdr:nvPicPr>
      <xdr:blipFill>
        <a:blip xmlns:r="http://schemas.openxmlformats.org/officeDocument/2006/relationships" r:embed="rId5"/>
        <a:stretch>
          <a:fillRect/>
        </a:stretch>
      </xdr:blipFill>
      <xdr:spPr>
        <a:xfrm>
          <a:off x="2530763" y="988292"/>
          <a:ext cx="1402202" cy="231668"/>
        </a:xfrm>
        <a:prstGeom prst="rect">
          <a:avLst/>
        </a:prstGeom>
      </xdr:spPr>
    </xdr:pic>
    <xdr:clientData/>
  </xdr:twoCellAnchor>
  <xdr:twoCellAnchor>
    <xdr:from>
      <xdr:col>8</xdr:col>
      <xdr:colOff>341747</xdr:colOff>
      <xdr:row>5</xdr:row>
      <xdr:rowOff>133927</xdr:rowOff>
    </xdr:from>
    <xdr:to>
      <xdr:col>13</xdr:col>
      <xdr:colOff>78508</xdr:colOff>
      <xdr:row>10</xdr:row>
      <xdr:rowOff>166254</xdr:rowOff>
    </xdr:to>
    <xdr:sp macro="" textlink="">
      <xdr:nvSpPr>
        <xdr:cNvPr id="27" name="Rounded Rectangle 26"/>
        <xdr:cNvSpPr/>
      </xdr:nvSpPr>
      <xdr:spPr>
        <a:xfrm>
          <a:off x="5218547" y="1057563"/>
          <a:ext cx="2784761" cy="955964"/>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xdr:from>
      <xdr:col>2</xdr:col>
      <xdr:colOff>64652</xdr:colOff>
      <xdr:row>9</xdr:row>
      <xdr:rowOff>36947</xdr:rowOff>
    </xdr:from>
    <xdr:to>
      <xdr:col>7</xdr:col>
      <xdr:colOff>411017</xdr:colOff>
      <xdr:row>14</xdr:row>
      <xdr:rowOff>103910</xdr:rowOff>
    </xdr:to>
    <xdr:graphicFrame macro="">
      <xdr:nvGraphicFramePr>
        <xdr:cNvPr id="31" name="Chart 30">
          <a:hlinkClick xmlns:r="http://schemas.openxmlformats.org/officeDocument/2006/relationships" r:id="rId6"/>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7</xdr:col>
      <xdr:colOff>420255</xdr:colOff>
      <xdr:row>11</xdr:row>
      <xdr:rowOff>68553</xdr:rowOff>
    </xdr:from>
    <xdr:to>
      <xdr:col>13</xdr:col>
      <xdr:colOff>290946</xdr:colOff>
      <xdr:row>14</xdr:row>
      <xdr:rowOff>143165</xdr:rowOff>
    </xdr:to>
    <xdr:pic>
      <xdr:nvPicPr>
        <xdr:cNvPr id="32" name="Picture 31"/>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4687455" y="2100553"/>
          <a:ext cx="3528291" cy="628794"/>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a:extLst/>
      </xdr:spPr>
    </xdr:pic>
    <xdr:clientData/>
  </xdr:twoCellAnchor>
  <xdr:twoCellAnchor>
    <xdr:from>
      <xdr:col>8</xdr:col>
      <xdr:colOff>336142</xdr:colOff>
      <xdr:row>5</xdr:row>
      <xdr:rowOff>55485</xdr:rowOff>
    </xdr:from>
    <xdr:to>
      <xdr:col>13</xdr:col>
      <xdr:colOff>285749</xdr:colOff>
      <xdr:row>10</xdr:row>
      <xdr:rowOff>162485</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421936</xdr:colOff>
      <xdr:row>0</xdr:row>
      <xdr:rowOff>28340</xdr:rowOff>
    </xdr:from>
    <xdr:to>
      <xdr:col>10</xdr:col>
      <xdr:colOff>522695</xdr:colOff>
      <xdr:row>5</xdr:row>
      <xdr:rowOff>22042</xdr:rowOff>
    </xdr:to>
    <xdr:graphicFrame macro="">
      <xdr:nvGraphicFramePr>
        <xdr:cNvPr id="34" name="Chart 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83127</xdr:colOff>
      <xdr:row>0</xdr:row>
      <xdr:rowOff>47232</xdr:rowOff>
    </xdr:from>
    <xdr:to>
      <xdr:col>13</xdr:col>
      <xdr:colOff>170873</xdr:colOff>
      <xdr:row>4</xdr:row>
      <xdr:rowOff>106218</xdr:rowOff>
    </xdr:to>
    <xdr:graphicFrame macro="">
      <xdr:nvGraphicFramePr>
        <xdr:cNvPr id="35" name="Chart 3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212436</xdr:colOff>
      <xdr:row>8</xdr:row>
      <xdr:rowOff>115455</xdr:rowOff>
    </xdr:from>
    <xdr:to>
      <xdr:col>8</xdr:col>
      <xdr:colOff>263236</xdr:colOff>
      <xdr:row>10</xdr:row>
      <xdr:rowOff>115454</xdr:rowOff>
    </xdr:to>
    <xdr:sp macro="" textlink="">
      <xdr:nvSpPr>
        <xdr:cNvPr id="8" name="Rectangle 7"/>
        <xdr:cNvSpPr/>
      </xdr:nvSpPr>
      <xdr:spPr>
        <a:xfrm>
          <a:off x="4479636" y="1593273"/>
          <a:ext cx="660400" cy="369454"/>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7</xdr:col>
      <xdr:colOff>157019</xdr:colOff>
      <xdr:row>8</xdr:row>
      <xdr:rowOff>69274</xdr:rowOff>
    </xdr:from>
    <xdr:to>
      <xdr:col>8</xdr:col>
      <xdr:colOff>295564</xdr:colOff>
      <xdr:row>10</xdr:row>
      <xdr:rowOff>166255</xdr:rowOff>
    </xdr:to>
    <mc:AlternateContent xmlns:mc="http://schemas.openxmlformats.org/markup-compatibility/2006" xmlns:a14="http://schemas.microsoft.com/office/drawing/2010/main">
      <mc:Choice Requires="a14">
        <xdr:graphicFrame macro="">
          <xdr:nvGraphicFramePr>
            <xdr:cNvPr id="36" name="Calender Table (Year)"/>
            <xdr:cNvGraphicFramePr/>
          </xdr:nvGraphicFramePr>
          <xdr:xfrm>
            <a:off x="0" y="0"/>
            <a:ext cx="0" cy="0"/>
          </xdr:xfrm>
          <a:graphic>
            <a:graphicData uri="http://schemas.microsoft.com/office/drawing/2010/slicer">
              <sle:slicer xmlns:sle="http://schemas.microsoft.com/office/drawing/2010/slicer" name="Calender Table (Year)"/>
            </a:graphicData>
          </a:graphic>
        </xdr:graphicFrame>
      </mc:Choice>
      <mc:Fallback xmlns="">
        <xdr:sp macro="" textlink="">
          <xdr:nvSpPr>
            <xdr:cNvPr id="0" name=""/>
            <xdr:cNvSpPr>
              <a:spLocks noTextEdit="1"/>
            </xdr:cNvSpPr>
          </xdr:nvSpPr>
          <xdr:spPr>
            <a:xfrm>
              <a:off x="4424219" y="1547092"/>
              <a:ext cx="748145" cy="4664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316</xdr:colOff>
      <xdr:row>0</xdr:row>
      <xdr:rowOff>50800</xdr:rowOff>
    </xdr:from>
    <xdr:to>
      <xdr:col>4</xdr:col>
      <xdr:colOff>60036</xdr:colOff>
      <xdr:row>2</xdr:row>
      <xdr:rowOff>138545</xdr:rowOff>
    </xdr:to>
    <xdr:pic>
      <xdr:nvPicPr>
        <xdr:cNvPr id="14" name="Picture 13" descr="&lt;strong&gt;Hospital&lt;/strong&gt; - Highway Sign image"/>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829116" y="50800"/>
          <a:ext cx="669320" cy="457200"/>
        </a:xfrm>
        <a:prstGeom prst="rect">
          <a:avLst/>
        </a:prstGeom>
      </xdr:spPr>
    </xdr:pic>
    <xdr:clientData/>
  </xdr:twoCellAnchor>
  <xdr:twoCellAnchor editAs="oneCell">
    <xdr:from>
      <xdr:col>4</xdr:col>
      <xdr:colOff>597823</xdr:colOff>
      <xdr:row>2</xdr:row>
      <xdr:rowOff>73890</xdr:rowOff>
    </xdr:from>
    <xdr:to>
      <xdr:col>5</xdr:col>
      <xdr:colOff>290945</xdr:colOff>
      <xdr:row>3</xdr:row>
      <xdr:rowOff>124690</xdr:rowOff>
    </xdr:to>
    <xdr:pic>
      <xdr:nvPicPr>
        <xdr:cNvPr id="17" name="Picture 16" descr="&lt;strong&gt;Patient&lt;/strong&gt; &lt;strong&gt;icon&lt;/strong&gt; - Free Vector - TukTuk Design"/>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3036223" y="443345"/>
          <a:ext cx="302722" cy="235527"/>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6</xdr:col>
      <xdr:colOff>360220</xdr:colOff>
      <xdr:row>2</xdr:row>
      <xdr:rowOff>73891</xdr:rowOff>
    </xdr:from>
    <xdr:to>
      <xdr:col>6</xdr:col>
      <xdr:colOff>609382</xdr:colOff>
      <xdr:row>3</xdr:row>
      <xdr:rowOff>138326</xdr:rowOff>
    </xdr:to>
    <xdr:pic>
      <xdr:nvPicPr>
        <xdr:cNvPr id="18" name="Picture 17" descr="Time Of Clock · Free vector graphic on Pixabay"/>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4017820" y="443346"/>
          <a:ext cx="249162" cy="249162"/>
        </a:xfrm>
        <a:prstGeom prst="rect">
          <a:avLst/>
        </a:prstGeom>
      </xdr:spPr>
    </xdr:pic>
    <xdr:clientData/>
  </xdr:twoCellAnchor>
  <xdr:twoCellAnchor editAs="oneCell">
    <xdr:from>
      <xdr:col>7</xdr:col>
      <xdr:colOff>369455</xdr:colOff>
      <xdr:row>1</xdr:row>
      <xdr:rowOff>138546</xdr:rowOff>
    </xdr:from>
    <xdr:to>
      <xdr:col>8</xdr:col>
      <xdr:colOff>340878</xdr:colOff>
      <xdr:row>2</xdr:row>
      <xdr:rowOff>175491</xdr:rowOff>
    </xdr:to>
    <xdr:pic>
      <xdr:nvPicPr>
        <xdr:cNvPr id="22" name="Picture 21" descr="5 Star &lt;strong&gt;Rating&lt;/strong&gt; PNG Transparent Images | PNG All"/>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4636655" y="323273"/>
          <a:ext cx="581023" cy="221673"/>
        </a:xfrm>
        <a:prstGeom prst="rect">
          <a:avLst/>
        </a:prstGeom>
      </xdr:spPr>
    </xdr:pic>
    <xdr:clientData/>
  </xdr:twoCellAnchor>
  <xdr:twoCellAnchor>
    <xdr:from>
      <xdr:col>8</xdr:col>
      <xdr:colOff>591127</xdr:colOff>
      <xdr:row>4</xdr:row>
      <xdr:rowOff>78509</xdr:rowOff>
    </xdr:from>
    <xdr:to>
      <xdr:col>10</xdr:col>
      <xdr:colOff>443345</xdr:colOff>
      <xdr:row>5</xdr:row>
      <xdr:rowOff>18473</xdr:rowOff>
    </xdr:to>
    <xdr:sp macro="" textlink="">
      <xdr:nvSpPr>
        <xdr:cNvPr id="23" name="TextBox 22"/>
        <xdr:cNvSpPr txBox="1"/>
      </xdr:nvSpPr>
      <xdr:spPr>
        <a:xfrm>
          <a:off x="5467927" y="817418"/>
          <a:ext cx="1071418" cy="124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600"/>
            <a:t>Patient Attend Status</a:t>
          </a:r>
        </a:p>
      </xdr:txBody>
    </xdr:sp>
    <xdr:clientData/>
  </xdr:twoCellAnchor>
  <xdr:twoCellAnchor>
    <xdr:from>
      <xdr:col>11</xdr:col>
      <xdr:colOff>314036</xdr:colOff>
      <xdr:row>3</xdr:row>
      <xdr:rowOff>138545</xdr:rowOff>
    </xdr:from>
    <xdr:to>
      <xdr:col>13</xdr:col>
      <xdr:colOff>50800</xdr:colOff>
      <xdr:row>4</xdr:row>
      <xdr:rowOff>143164</xdr:rowOff>
    </xdr:to>
    <xdr:sp macro="" textlink="">
      <xdr:nvSpPr>
        <xdr:cNvPr id="38" name="TextBox 37"/>
        <xdr:cNvSpPr txBox="1"/>
      </xdr:nvSpPr>
      <xdr:spPr>
        <a:xfrm>
          <a:off x="7019636" y="692727"/>
          <a:ext cx="955964" cy="189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700"/>
            <a:t>Gender Wise Analsis</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admin" refreshedDate="46083.014344907409" createdVersion="5" refreshedVersion="6" minRefreshableVersion="3" recordCount="0" supportSubquery="1" supportAdvancedDrill="1">
  <cacheSource type="external" connectionId="3"/>
  <cacheFields count="4">
    <cacheField name="[Measures].[Distinct Count of Patient Id]" caption="Distinct Count of Patient Id" numFmtId="0" hierarchy="24" level="32767"/>
    <cacheField name="[Query1].[Calender Table (Day)].[Calender Table (Day)]" caption="Calender Table (Day)" numFmtId="0" hierarchy="14" level="1">
      <sharedItems count="31">
        <s v="1-Aug"/>
        <s v="2-Aug"/>
        <s v="3-Aug"/>
        <s v="4-Aug"/>
        <s v="5-Aug"/>
        <s v="6-Aug"/>
        <s v="7-Aug"/>
        <s v="8-Aug"/>
        <s v="9-Aug"/>
        <s v="10-Aug"/>
        <s v="11-Aug"/>
        <s v="12-Aug"/>
        <s v="13-Aug"/>
        <s v="14-Aug"/>
        <s v="15-Aug"/>
        <s v="16-Aug"/>
        <s v="17-Aug"/>
        <s v="18-Aug"/>
        <s v="19-Aug"/>
        <s v="20-Aug"/>
        <s v="21-Aug"/>
        <s v="22-Aug"/>
        <s v="23-Aug"/>
        <s v="24-Aug"/>
        <s v="25-Aug"/>
        <s v="26-Aug"/>
        <s v="27-Aug"/>
        <s v="28-Aug"/>
        <s v="29-Aug"/>
        <s v="30-Aug"/>
        <s v="31-Aug"/>
      </sharedItems>
    </cacheField>
    <cacheField name="[Query1].[Calender Table (Month)].[Calender Table (Month)]" caption="Calender Table (Month)" numFmtId="0" hierarchy="15" level="1">
      <sharedItems containsSemiMixedTypes="0" containsNonDate="0" containsString="0"/>
    </cacheField>
    <cacheField name="[Query1].[Calender Table (Year)].[Calender Table (Year)]" caption="Calender Table (Year)" numFmtId="0" hierarchy="17" level="1">
      <sharedItems containsSemiMixedTypes="0" containsNonDate="0" containsString="0"/>
    </cacheField>
  </cacheFields>
  <cacheHierarchies count="34">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Query1].[Calender Table]" caption="Calender Table" attribute="1" time="1" defaultMemberUniqueName="[Query1].[Calender Table].[All]" allUniqueName="[Query1].[Calender Table].[All]" dimensionUniqueName="[Query1]" displayFolder="" count="0" memberValueDatatype="7" unbalanced="0"/>
    <cacheHierarchy uniqueName="[Query1].[Calender Table (Day)]" caption="Calender Table (Day)" attribute="1" defaultMemberUniqueName="[Query1].[Calender Table (Day)].[All]" allUniqueName="[Query1].[Calender Table (Day)].[All]" dimensionUniqueName="[Query1]" displayFolder="" count="2" memberValueDatatype="130" unbalanced="0">
      <fieldsUsage count="2">
        <fieldUsage x="-1"/>
        <fieldUsage x="1"/>
      </fieldsUsage>
    </cacheHierarchy>
    <cacheHierarchy uniqueName="[Query1].[Calender Table (Month)]" caption="Calender Table (Month)" attribute="1" defaultMemberUniqueName="[Query1].[Calender Table (Month)].[All]" allUniqueName="[Query1].[Calender Table (Month)].[All]" dimensionUniqueName="[Query1]" displayFolder="" count="2" memberValueDatatype="130" unbalanced="0">
      <fieldsUsage count="2">
        <fieldUsage x="-1"/>
        <fieldUsage x="2"/>
      </fieldsUsage>
    </cacheHierarchy>
    <cacheHierarchy uniqueName="[Query1].[Calender Table (Quarter)]" caption="Calender Table (Quarter)" attribute="1" defaultMemberUniqueName="[Query1].[Calender Table (Quarter)].[All]" allUniqueName="[Query1].[Calender Table (Quarter)].[All]" dimensionUniqueName="[Query1]" displayFolder="" count="0" memberValueDatatype="130" unbalanced="0"/>
    <cacheHierarchy uniqueName="[Query1].[Calender Table (Year)]" caption="Calender Table (Year)" attribute="1" defaultMemberUniqueName="[Query1].[Calender Table (Year)].[All]" allUniqueName="[Query1].[Calender Table (Year)].[All]" dimensionUniqueName="[Query1]" displayFolder="" count="2" memberValueDatatype="130" unbalanced="0">
      <fieldsUsage count="2">
        <fieldUsage x="-1"/>
        <fieldUsage x="3"/>
      </fieldsUsage>
    </cacheHierarchy>
    <cacheHierarchy uniqueName="[Query1].[Calender Table (Day Index)]" caption="Calender Table (Day Index)" attribute="1" defaultMemberUniqueName="[Query1].[Calender Table (Day Index)].[All]" allUniqueName="[Query1].[Calender Table (Day Index)].[All]" dimensionUniqueName="[Query1]" displayFolder="" count="0" memberValueDatatype="5" unbalanced="0" hidden="1"/>
    <cacheHierarchy uniqueName="[Query1].[Calender Table (Month Index)]" caption="Calender Table (Month Index)" attribute="1" defaultMemberUniqueName="[Query1].[Calender Table (Month Index)].[All]" allUniqueName="[Query1].[Calender Table (Month Index)].[All]" dimensionUniqueName="[Query1]"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6"/>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admin" refreshedDate="46083.014345717595" createdVersion="5" refreshedVersion="6" minRefreshableVersion="3" recordCount="0" supportSubquery="1" supportAdvancedDrill="1">
  <cacheSource type="external" connectionId="3"/>
  <cacheFields count="3">
    <cacheField name="[Measures].[Distinct Count of Patient Id]" caption="Distinct Count of Patient Id" numFmtId="0" hierarchy="24" level="32767"/>
    <cacheField name="[Query1].[Calender Table (Month)].[Calender Table (Month)]" caption="Calender Table (Month)" numFmtId="0" hierarchy="15" level="1">
      <sharedItems containsSemiMixedTypes="0" containsNonDate="0" containsString="0"/>
    </cacheField>
    <cacheField name="[Query1].[Calender Table (Year)].[Calender Table (Year)]" caption="Calender Table (Year)" numFmtId="0" hierarchy="17" level="1">
      <sharedItems containsSemiMixedTypes="0" containsNonDate="0" containsString="0"/>
    </cacheField>
  </cacheFields>
  <cacheHierarchies count="34">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Query1].[Calender Table]" caption="Calender Table" attribute="1" time="1" defaultMemberUniqueName="[Query1].[Calender Table].[All]" allUniqueName="[Query1].[Calender Table].[All]" dimensionUniqueName="[Query1]" displayFolder="" count="0" memberValueDatatype="7" unbalanced="0"/>
    <cacheHierarchy uniqueName="[Query1].[Calender Table (Day)]" caption="Calender Table (Day)" attribute="1" defaultMemberUniqueName="[Query1].[Calender Table (Day)].[All]" allUniqueName="[Query1].[Calender Table (Day)].[All]" dimensionUniqueName="[Query1]" displayFolder="" count="0" memberValueDatatype="130" unbalanced="0"/>
    <cacheHierarchy uniqueName="[Query1].[Calender Table (Month)]" caption="Calender Table (Month)" attribute="1" defaultMemberUniqueName="[Query1].[Calender Table (Month)].[All]" allUniqueName="[Query1].[Calender Table (Month)].[All]" dimensionUniqueName="[Query1]" displayFolder="" count="2" memberValueDatatype="130" unbalanced="0">
      <fieldsUsage count="2">
        <fieldUsage x="-1"/>
        <fieldUsage x="1"/>
      </fieldsUsage>
    </cacheHierarchy>
    <cacheHierarchy uniqueName="[Query1].[Calender Table (Quarter)]" caption="Calender Table (Quarter)" attribute="1" defaultMemberUniqueName="[Query1].[Calender Table (Quarter)].[All]" allUniqueName="[Query1].[Calender Table (Quarter)].[All]" dimensionUniqueName="[Query1]" displayFolder="" count="0" memberValueDatatype="130" unbalanced="0"/>
    <cacheHierarchy uniqueName="[Query1].[Calender Table (Year)]" caption="Calender Table (Year)" attribute="1" defaultMemberUniqueName="[Query1].[Calender Table (Year)].[All]" allUniqueName="[Query1].[Calender Table (Year)].[All]" dimensionUniqueName="[Query1]" displayFolder="" count="2" memberValueDatatype="130" unbalanced="0">
      <fieldsUsage count="2">
        <fieldUsage x="-1"/>
        <fieldUsage x="2"/>
      </fieldsUsage>
    </cacheHierarchy>
    <cacheHierarchy uniqueName="[Query1].[Calender Table (Day Index)]" caption="Calender Table (Day Index)" attribute="1" defaultMemberUniqueName="[Query1].[Calender Table (Day Index)].[All]" allUniqueName="[Query1].[Calender Table (Day Index)].[All]" dimensionUniqueName="[Query1]" displayFolder="" count="0" memberValueDatatype="5" unbalanced="0" hidden="1"/>
    <cacheHierarchy uniqueName="[Query1].[Calender Table (Month Index)]" caption="Calender Table (Month Index)" attribute="1" defaultMemberUniqueName="[Query1].[Calender Table (Month Index)].[All]" allUniqueName="[Query1].[Calender Table (Month Index)].[All]" dimensionUniqueName="[Query1]"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6"/>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admin" refreshedDate="46083.014346064818" createdVersion="5" refreshedVersion="6" minRefreshableVersion="3" recordCount="0" supportSubquery="1" supportAdvancedDrill="1">
  <cacheSource type="external" connectionId="3"/>
  <cacheFields count="3">
    <cacheField name="[Measures].[Average of Patient Waittime]" caption="Average of Patient Waittime" numFmtId="0" hierarchy="26" level="32767"/>
    <cacheField name="[Query1].[Calender Table (Month)].[Calender Table (Month)]" caption="Calender Table (Month)" numFmtId="0" hierarchy="15" level="1">
      <sharedItems containsSemiMixedTypes="0" containsNonDate="0" containsString="0"/>
    </cacheField>
    <cacheField name="[Query1].[Calender Table (Year)].[Calender Table (Year)]" caption="Calender Table (Year)" numFmtId="0" hierarchy="17" level="1">
      <sharedItems containsSemiMixedTypes="0" containsNonDate="0" containsString="0"/>
    </cacheField>
  </cacheFields>
  <cacheHierarchies count="34">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Query1].[Calender Table]" caption="Calender Table" attribute="1" time="1" defaultMemberUniqueName="[Query1].[Calender Table].[All]" allUniqueName="[Query1].[Calender Table].[All]" dimensionUniqueName="[Query1]" displayFolder="" count="0" memberValueDatatype="7" unbalanced="0"/>
    <cacheHierarchy uniqueName="[Query1].[Calender Table (Day)]" caption="Calender Table (Day)" attribute="1" defaultMemberUniqueName="[Query1].[Calender Table (Day)].[All]" allUniqueName="[Query1].[Calender Table (Day)].[All]" dimensionUniqueName="[Query1]" displayFolder="" count="0" memberValueDatatype="130" unbalanced="0"/>
    <cacheHierarchy uniqueName="[Query1].[Calender Table (Month)]" caption="Calender Table (Month)" attribute="1" defaultMemberUniqueName="[Query1].[Calender Table (Month)].[All]" allUniqueName="[Query1].[Calender Table (Month)].[All]" dimensionUniqueName="[Query1]" displayFolder="" count="2" memberValueDatatype="130" unbalanced="0">
      <fieldsUsage count="2">
        <fieldUsage x="-1"/>
        <fieldUsage x="1"/>
      </fieldsUsage>
    </cacheHierarchy>
    <cacheHierarchy uniqueName="[Query1].[Calender Table (Quarter)]" caption="Calender Table (Quarter)" attribute="1" defaultMemberUniqueName="[Query1].[Calender Table (Quarter)].[All]" allUniqueName="[Query1].[Calender Table (Quarter)].[All]" dimensionUniqueName="[Query1]" displayFolder="" count="0" memberValueDatatype="130" unbalanced="0"/>
    <cacheHierarchy uniqueName="[Query1].[Calender Table (Year)]" caption="Calender Table (Year)" attribute="1" defaultMemberUniqueName="[Query1].[Calender Table (Year)].[All]" allUniqueName="[Query1].[Calender Table (Year)].[All]" dimensionUniqueName="[Query1]" displayFolder="" count="2" memberValueDatatype="130" unbalanced="0">
      <fieldsUsage count="2">
        <fieldUsage x="-1"/>
        <fieldUsage x="2"/>
      </fieldsUsage>
    </cacheHierarchy>
    <cacheHierarchy uniqueName="[Query1].[Calender Table (Day Index)]" caption="Calender Table (Day Index)" attribute="1" defaultMemberUniqueName="[Query1].[Calender Table (Day Index)].[All]" allUniqueName="[Query1].[Calender Table (Day Index)].[All]" dimensionUniqueName="[Query1]" displayFolder="" count="0" memberValueDatatype="5" unbalanced="0" hidden="1"/>
    <cacheHierarchy uniqueName="[Query1].[Calender Table (Month Index)]" caption="Calender Table (Month Index)" attribute="1" defaultMemberUniqueName="[Query1].[Calender Table (Month Index)].[All]" allUniqueName="[Query1].[Calender Table (Month Index)].[All]" dimensionUniqueName="[Query1]"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6"/>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admin" refreshedDate="46083.014346759257" createdVersion="5" refreshedVersion="6" minRefreshableVersion="3" recordCount="0" supportSubquery="1" supportAdvancedDrill="1">
  <cacheSource type="external" connectionId="3"/>
  <cacheFields count="3">
    <cacheField name="[Measures].[Average of Patient Satisfaction Score]" caption="Average of Patient Satisfaction Score" numFmtId="0" hierarchy="28" level="32767"/>
    <cacheField name="[Query1].[Calender Table (Month)].[Calender Table (Month)]" caption="Calender Table (Month)" numFmtId="0" hierarchy="15" level="1">
      <sharedItems containsSemiMixedTypes="0" containsNonDate="0" containsString="0"/>
    </cacheField>
    <cacheField name="[Query1].[Calender Table (Year)].[Calender Table (Year)]" caption="Calender Table (Year)" numFmtId="0" hierarchy="17" level="1">
      <sharedItems containsSemiMixedTypes="0" containsNonDate="0" containsString="0"/>
    </cacheField>
  </cacheFields>
  <cacheHierarchies count="34">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Query1].[Calender Table]" caption="Calender Table" attribute="1" time="1" defaultMemberUniqueName="[Query1].[Calender Table].[All]" allUniqueName="[Query1].[Calender Table].[All]" dimensionUniqueName="[Query1]" displayFolder="" count="0" memberValueDatatype="7" unbalanced="0"/>
    <cacheHierarchy uniqueName="[Query1].[Calender Table (Day)]" caption="Calender Table (Day)" attribute="1" defaultMemberUniqueName="[Query1].[Calender Table (Day)].[All]" allUniqueName="[Query1].[Calender Table (Day)].[All]" dimensionUniqueName="[Query1]" displayFolder="" count="0" memberValueDatatype="130" unbalanced="0"/>
    <cacheHierarchy uniqueName="[Query1].[Calender Table (Month)]" caption="Calender Table (Month)" attribute="1" defaultMemberUniqueName="[Query1].[Calender Table (Month)].[All]" allUniqueName="[Query1].[Calender Table (Month)].[All]" dimensionUniqueName="[Query1]" displayFolder="" count="2" memberValueDatatype="130" unbalanced="0">
      <fieldsUsage count="2">
        <fieldUsage x="-1"/>
        <fieldUsage x="1"/>
      </fieldsUsage>
    </cacheHierarchy>
    <cacheHierarchy uniqueName="[Query1].[Calender Table (Quarter)]" caption="Calender Table (Quarter)" attribute="1" defaultMemberUniqueName="[Query1].[Calender Table (Quarter)].[All]" allUniqueName="[Query1].[Calender Table (Quarter)].[All]" dimensionUniqueName="[Query1]" displayFolder="" count="0" memberValueDatatype="130" unbalanced="0"/>
    <cacheHierarchy uniqueName="[Query1].[Calender Table (Year)]" caption="Calender Table (Year)" attribute="1" defaultMemberUniqueName="[Query1].[Calender Table (Year)].[All]" allUniqueName="[Query1].[Calender Table (Year)].[All]" dimensionUniqueName="[Query1]" displayFolder="" count="2" memberValueDatatype="130" unbalanced="0">
      <fieldsUsage count="2">
        <fieldUsage x="-1"/>
        <fieldUsage x="2"/>
      </fieldsUsage>
    </cacheHierarchy>
    <cacheHierarchy uniqueName="[Query1].[Calender Table (Day Index)]" caption="Calender Table (Day Index)" attribute="1" defaultMemberUniqueName="[Query1].[Calender Table (Day Index)].[All]" allUniqueName="[Query1].[Calender Table (Day Index)].[All]" dimensionUniqueName="[Query1]" displayFolder="" count="0" memberValueDatatype="5" unbalanced="0" hidden="1"/>
    <cacheHierarchy uniqueName="[Query1].[Calender Table (Month Index)]" caption="Calender Table (Month Index)" attribute="1" defaultMemberUniqueName="[Query1].[Calender Table (Month Index)].[All]" allUniqueName="[Query1].[Calender Table (Month Index)].[All]" dimensionUniqueName="[Query1]"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6"/>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admin" refreshedDate="46083.014347800927" createdVersion="5" refreshedVersion="6" minRefreshableVersion="3" recordCount="0" supportSubquery="1" supportAdvancedDrill="1">
  <cacheSource type="external" connectionId="3"/>
  <cacheFields count="4">
    <cacheField name="[Query1].[Calender Table (Day)].[Calender Table (Day)]" caption="Calender Table (Day)" numFmtId="0" hierarchy="14" level="1">
      <sharedItems count="62">
        <s v="1-Aug"/>
        <s v="2-Aug"/>
        <s v="3-Aug"/>
        <s v="4-Aug"/>
        <s v="5-Aug"/>
        <s v="6-Aug"/>
        <s v="7-Aug"/>
        <s v="8-Aug"/>
        <s v="9-Aug"/>
        <s v="10-Aug"/>
        <s v="11-Aug"/>
        <s v="12-Aug"/>
        <s v="13-Aug"/>
        <s v="14-Aug"/>
        <s v="15-Aug"/>
        <s v="16-Aug"/>
        <s v="17-Aug"/>
        <s v="18-Aug"/>
        <s v="19-Aug"/>
        <s v="20-Aug"/>
        <s v="21-Aug"/>
        <s v="22-Aug"/>
        <s v="23-Aug"/>
        <s v="24-Aug"/>
        <s v="25-Aug"/>
        <s v="26-Aug"/>
        <s v="27-Aug"/>
        <s v="28-Aug"/>
        <s v="29-Aug"/>
        <s v="30-Aug"/>
        <s v="31-Aug"/>
        <s v="1-Jan" u="1"/>
        <s v="2-Jan" u="1"/>
        <s v="3-Jan" u="1"/>
        <s v="4-Jan" u="1"/>
        <s v="5-Jan" u="1"/>
        <s v="6-Jan" u="1"/>
        <s v="7-Jan" u="1"/>
        <s v="8-Jan" u="1"/>
        <s v="9-Jan" u="1"/>
        <s v="10-Jan" u="1"/>
        <s v="11-Jan" u="1"/>
        <s v="12-Jan" u="1"/>
        <s v="13-Jan" u="1"/>
        <s v="14-Jan" u="1"/>
        <s v="15-Jan" u="1"/>
        <s v="16-Jan" u="1"/>
        <s v="17-Jan" u="1"/>
        <s v="18-Jan" u="1"/>
        <s v="19-Jan" u="1"/>
        <s v="20-Jan" u="1"/>
        <s v="21-Jan" u="1"/>
        <s v="22-Jan" u="1"/>
        <s v="23-Jan" u="1"/>
        <s v="24-Jan" u="1"/>
        <s v="25-Jan" u="1"/>
        <s v="26-Jan" u="1"/>
        <s v="27-Jan" u="1"/>
        <s v="28-Jan" u="1"/>
        <s v="29-Jan" u="1"/>
        <s v="30-Jan" u="1"/>
        <s v="31-Jan" u="1"/>
      </sharedItems>
    </cacheField>
    <cacheField name="[Query1].[Calender Table (Month)].[Calender Table (Month)]" caption="Calender Table (Month)" numFmtId="0" hierarchy="15" level="1">
      <sharedItems containsSemiMixedTypes="0" containsNonDate="0" containsString="0"/>
    </cacheField>
    <cacheField name="[Measures].[Average of Patient Waittime]" caption="Average of Patient Waittime" numFmtId="0" hierarchy="26" level="32767"/>
    <cacheField name="[Query1].[Calender Table (Year)].[Calender Table (Year)]" caption="Calender Table (Year)" numFmtId="0" hierarchy="17" level="1">
      <sharedItems containsSemiMixedTypes="0" containsNonDate="0" containsString="0"/>
    </cacheField>
  </cacheFields>
  <cacheHierarchies count="34">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Query1].[Calender Table]" caption="Calender Table" attribute="1" time="1" defaultMemberUniqueName="[Query1].[Calender Table].[All]" allUniqueName="[Query1].[Calender Table].[All]" dimensionUniqueName="[Query1]" displayFolder="" count="0" memberValueDatatype="7" unbalanced="0"/>
    <cacheHierarchy uniqueName="[Query1].[Calender Table (Day)]" caption="Calender Table (Day)" attribute="1" defaultMemberUniqueName="[Query1].[Calender Table (Day)].[All]" allUniqueName="[Query1].[Calender Table (Day)].[All]" dimensionUniqueName="[Query1]" displayFolder="" count="2" memberValueDatatype="130" unbalanced="0">
      <fieldsUsage count="2">
        <fieldUsage x="-1"/>
        <fieldUsage x="0"/>
      </fieldsUsage>
    </cacheHierarchy>
    <cacheHierarchy uniqueName="[Query1].[Calender Table (Month)]" caption="Calender Table (Month)" attribute="1" defaultMemberUniqueName="[Query1].[Calender Table (Month)].[All]" allUniqueName="[Query1].[Calender Table (Month)].[All]" dimensionUniqueName="[Query1]" displayFolder="" count="2" memberValueDatatype="130" unbalanced="0">
      <fieldsUsage count="2">
        <fieldUsage x="-1"/>
        <fieldUsage x="1"/>
      </fieldsUsage>
    </cacheHierarchy>
    <cacheHierarchy uniqueName="[Query1].[Calender Table (Quarter)]" caption="Calender Table (Quarter)" attribute="1" defaultMemberUniqueName="[Query1].[Calender Table (Quarter)].[All]" allUniqueName="[Query1].[Calender Table (Quarter)].[All]" dimensionUniqueName="[Query1]" displayFolder="" count="0" memberValueDatatype="130" unbalanced="0"/>
    <cacheHierarchy uniqueName="[Query1].[Calender Table (Year)]" caption="Calender Table (Year)" attribute="1" defaultMemberUniqueName="[Query1].[Calender Table (Year)].[All]" allUniqueName="[Query1].[Calender Table (Year)].[All]" dimensionUniqueName="[Query1]" displayFolder="" count="2" memberValueDatatype="130" unbalanced="0">
      <fieldsUsage count="2">
        <fieldUsage x="-1"/>
        <fieldUsage x="3"/>
      </fieldsUsage>
    </cacheHierarchy>
    <cacheHierarchy uniqueName="[Query1].[Calender Table (Day Index)]" caption="Calender Table (Day Index)" attribute="1" defaultMemberUniqueName="[Query1].[Calender Table (Day Index)].[All]" allUniqueName="[Query1].[Calender Table (Day Index)].[All]" dimensionUniqueName="[Query1]" displayFolder="" count="0" memberValueDatatype="5" unbalanced="0" hidden="1"/>
    <cacheHierarchy uniqueName="[Query1].[Calender Table (Month Index)]" caption="Calender Table (Month Index)" attribute="1" defaultMemberUniqueName="[Query1].[Calender Table (Month Index)].[All]" allUniqueName="[Query1].[Calender Table (Month Index)].[All]" dimensionUniqueName="[Query1]"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6"/>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admin" refreshedDate="46083.014348611112" createdVersion="5" refreshedVersion="6" minRefreshableVersion="3" recordCount="0" supportSubquery="1" supportAdvancedDrill="1">
  <cacheSource type="external" connectionId="3"/>
  <cacheFields count="4">
    <cacheField name="[Query1].[Calender Table (Day)].[Calender Table (Day)]" caption="Calender Table (Day)" numFmtId="0" hierarchy="14" level="1">
      <sharedItems count="62">
        <s v="1-Aug"/>
        <s v="2-Aug"/>
        <s v="3-Aug"/>
        <s v="4-Aug"/>
        <s v="5-Aug"/>
        <s v="6-Aug"/>
        <s v="7-Aug"/>
        <s v="8-Aug"/>
        <s v="9-Aug"/>
        <s v="10-Aug"/>
        <s v="11-Aug"/>
        <s v="12-Aug"/>
        <s v="13-Aug"/>
        <s v="14-Aug"/>
        <s v="15-Aug"/>
        <s v="16-Aug"/>
        <s v="17-Aug"/>
        <s v="18-Aug"/>
        <s v="19-Aug"/>
        <s v="20-Aug"/>
        <s v="21-Aug"/>
        <s v="22-Aug"/>
        <s v="23-Aug"/>
        <s v="24-Aug"/>
        <s v="25-Aug"/>
        <s v="26-Aug"/>
        <s v="27-Aug"/>
        <s v="28-Aug"/>
        <s v="29-Aug"/>
        <s v="30-Aug"/>
        <s v="31-Aug"/>
        <s v="1-Jan" u="1"/>
        <s v="2-Jan" u="1"/>
        <s v="3-Jan" u="1"/>
        <s v="4-Jan" u="1"/>
        <s v="5-Jan" u="1"/>
        <s v="6-Jan" u="1"/>
        <s v="7-Jan" u="1"/>
        <s v="8-Jan" u="1"/>
        <s v="9-Jan" u="1"/>
        <s v="10-Jan" u="1"/>
        <s v="11-Jan" u="1"/>
        <s v="12-Jan" u="1"/>
        <s v="13-Jan" u="1"/>
        <s v="14-Jan" u="1"/>
        <s v="15-Jan" u="1"/>
        <s v="16-Jan" u="1"/>
        <s v="17-Jan" u="1"/>
        <s v="18-Jan" u="1"/>
        <s v="19-Jan" u="1"/>
        <s v="20-Jan" u="1"/>
        <s v="21-Jan" u="1"/>
        <s v="22-Jan" u="1"/>
        <s v="23-Jan" u="1"/>
        <s v="24-Jan" u="1"/>
        <s v="25-Jan" u="1"/>
        <s v="26-Jan" u="1"/>
        <s v="27-Jan" u="1"/>
        <s v="28-Jan" u="1"/>
        <s v="29-Jan" u="1"/>
        <s v="30-Jan" u="1"/>
        <s v="31-Jan" u="1"/>
      </sharedItems>
    </cacheField>
    <cacheField name="[Query1].[Calender Table (Month)].[Calender Table (Month)]" caption="Calender Table (Month)" numFmtId="0" hierarchy="15" level="1">
      <sharedItems containsSemiMixedTypes="0" containsNonDate="0" containsString="0"/>
    </cacheField>
    <cacheField name="[Measures].[Average of Patient Satisfaction Score]" caption="Average of Patient Satisfaction Score" numFmtId="0" hierarchy="28" level="32767"/>
    <cacheField name="[Query1].[Calender Table (Year)].[Calender Table (Year)]" caption="Calender Table (Year)" numFmtId="0" hierarchy="17" level="1">
      <sharedItems containsSemiMixedTypes="0" containsNonDate="0" containsString="0"/>
    </cacheField>
  </cacheFields>
  <cacheHierarchies count="34">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Query1].[Calender Table]" caption="Calender Table" attribute="1" time="1" defaultMemberUniqueName="[Query1].[Calender Table].[All]" allUniqueName="[Query1].[Calender Table].[All]" dimensionUniqueName="[Query1]" displayFolder="" count="0" memberValueDatatype="7" unbalanced="0"/>
    <cacheHierarchy uniqueName="[Query1].[Calender Table (Day)]" caption="Calender Table (Day)" attribute="1" defaultMemberUniqueName="[Query1].[Calender Table (Day)].[All]" allUniqueName="[Query1].[Calender Table (Day)].[All]" dimensionUniqueName="[Query1]" displayFolder="" count="2" memberValueDatatype="130" unbalanced="0">
      <fieldsUsage count="2">
        <fieldUsage x="-1"/>
        <fieldUsage x="0"/>
      </fieldsUsage>
    </cacheHierarchy>
    <cacheHierarchy uniqueName="[Query1].[Calender Table (Month)]" caption="Calender Table (Month)" attribute="1" defaultMemberUniqueName="[Query1].[Calender Table (Month)].[All]" allUniqueName="[Query1].[Calender Table (Month)].[All]" dimensionUniqueName="[Query1]" displayFolder="" count="2" memberValueDatatype="130" unbalanced="0">
      <fieldsUsage count="2">
        <fieldUsage x="-1"/>
        <fieldUsage x="1"/>
      </fieldsUsage>
    </cacheHierarchy>
    <cacheHierarchy uniqueName="[Query1].[Calender Table (Quarter)]" caption="Calender Table (Quarter)" attribute="1" defaultMemberUniqueName="[Query1].[Calender Table (Quarter)].[All]" allUniqueName="[Query1].[Calender Table (Quarter)].[All]" dimensionUniqueName="[Query1]" displayFolder="" count="0" memberValueDatatype="130" unbalanced="0"/>
    <cacheHierarchy uniqueName="[Query1].[Calender Table (Year)]" caption="Calender Table (Year)" attribute="1" defaultMemberUniqueName="[Query1].[Calender Table (Year)].[All]" allUniqueName="[Query1].[Calender Table (Year)].[All]" dimensionUniqueName="[Query1]" displayFolder="" count="2" memberValueDatatype="130" unbalanced="0">
      <fieldsUsage count="2">
        <fieldUsage x="-1"/>
        <fieldUsage x="3"/>
      </fieldsUsage>
    </cacheHierarchy>
    <cacheHierarchy uniqueName="[Query1].[Calender Table (Day Index)]" caption="Calender Table (Day Index)" attribute="1" defaultMemberUniqueName="[Query1].[Calender Table (Day Index)].[All]" allUniqueName="[Query1].[Calender Table (Day Index)].[All]" dimensionUniqueName="[Query1]" displayFolder="" count="0" memberValueDatatype="5" unbalanced="0" hidden="1"/>
    <cacheHierarchy uniqueName="[Query1].[Calender Table (Month Index)]" caption="Calender Table (Month Index)" attribute="1" defaultMemberUniqueName="[Query1].[Calender Table (Month Index)].[All]" allUniqueName="[Query1].[Calender Table (Month Index)].[All]" dimensionUniqueName="[Query1]"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6"/>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admin" refreshedDate="46083.014349305558" createdVersion="5" refreshedVersion="6" minRefreshableVersion="3" recordCount="0" supportSubquery="1" supportAdvancedDrill="1">
  <cacheSource type="external" connectionId="3"/>
  <cacheFields count="5">
    <cacheField name="[Query1].[Calender Table (Month)].[Calender Table (Month)]" caption="Calender Table (Month)" numFmtId="0" hierarchy="15" level="1">
      <sharedItems containsSemiMixedTypes="0" containsNonDate="0" containsString="0"/>
    </cacheField>
    <cacheField name="[Hospital Emergency Room Data].[Patient Admission Flag].[Patient Admission Flag]" caption="Patient Admission Flag" numFmtId="0" hierarchy="3" level="1">
      <sharedItems count="2">
        <s v="Admitted"/>
        <s v="Not Admitted"/>
      </sharedItems>
    </cacheField>
    <cacheField name="[Measures].[Count of Patient Attend Status]" caption="Count of Patient Attend Status" numFmtId="0" hierarchy="29" level="32767"/>
    <cacheField name="[Measures].[Count of Patient Admission Flag]" caption="Count of Patient Admission Flag" numFmtId="0" hierarchy="30" level="32767"/>
    <cacheField name="[Query1].[Calender Table (Year)].[Calender Table (Year)]" caption="Calender Table (Year)" numFmtId="0" hierarchy="17" level="1">
      <sharedItems containsSemiMixedTypes="0" containsNonDate="0" containsString="0"/>
    </cacheField>
  </cacheFields>
  <cacheHierarchies count="34">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Query1].[Calender Table]" caption="Calender Table" attribute="1" time="1" defaultMemberUniqueName="[Query1].[Calender Table].[All]" allUniqueName="[Query1].[Calender Table].[All]" dimensionUniqueName="[Query1]" displayFolder="" count="0" memberValueDatatype="7" unbalanced="0"/>
    <cacheHierarchy uniqueName="[Query1].[Calender Table (Day)]" caption="Calender Table (Day)" attribute="1" defaultMemberUniqueName="[Query1].[Calender Table (Day)].[All]" allUniqueName="[Query1].[Calender Table (Day)].[All]" dimensionUniqueName="[Query1]" displayFolder="" count="0" memberValueDatatype="130" unbalanced="0"/>
    <cacheHierarchy uniqueName="[Query1].[Calender Table (Month)]" caption="Calender Table (Month)" attribute="1" defaultMemberUniqueName="[Query1].[Calender Table (Month)].[All]" allUniqueName="[Query1].[Calender Table (Month)].[All]" dimensionUniqueName="[Query1]" displayFolder="" count="2" memberValueDatatype="130" unbalanced="0">
      <fieldsUsage count="2">
        <fieldUsage x="-1"/>
        <fieldUsage x="0"/>
      </fieldsUsage>
    </cacheHierarchy>
    <cacheHierarchy uniqueName="[Query1].[Calender Table (Quarter)]" caption="Calender Table (Quarter)" attribute="1" defaultMemberUniqueName="[Query1].[Calender Table (Quarter)].[All]" allUniqueName="[Query1].[Calender Table (Quarter)].[All]" dimensionUniqueName="[Query1]" displayFolder="" count="0" memberValueDatatype="130" unbalanced="0"/>
    <cacheHierarchy uniqueName="[Query1].[Calender Table (Year)]" caption="Calender Table (Year)" attribute="1" defaultMemberUniqueName="[Query1].[Calender Table (Year)].[All]" allUniqueName="[Query1].[Calender Table (Year)].[All]" dimensionUniqueName="[Query1]" displayFolder="" count="2" memberValueDatatype="130" unbalanced="0">
      <fieldsUsage count="2">
        <fieldUsage x="-1"/>
        <fieldUsage x="4"/>
      </fieldsUsage>
    </cacheHierarchy>
    <cacheHierarchy uniqueName="[Query1].[Calender Table (Day Index)]" caption="Calender Table (Day Index)" attribute="1" defaultMemberUniqueName="[Query1].[Calender Table (Day Index)].[All]" allUniqueName="[Query1].[Calender Table (Day Index)].[All]" dimensionUniqueName="[Query1]" displayFolder="" count="0" memberValueDatatype="5" unbalanced="0" hidden="1"/>
    <cacheHierarchy uniqueName="[Query1].[Calender Table (Month Index)]" caption="Calender Table (Month Index)" attribute="1" defaultMemberUniqueName="[Query1].[Calender Table (Month Index)].[All]" allUniqueName="[Query1].[Calender Table (Month Index)].[All]" dimensionUniqueName="[Query1]"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oneField="1" hidden="1">
      <fieldsUsage count="1">
        <fieldUsage x="3"/>
      </fieldsUsage>
      <extLst>
        <ext xmlns:x15="http://schemas.microsoft.com/office/spreadsheetml/2010/11/main" uri="{B97F6D7D-B522-45F9-BDA1-12C45D357490}">
          <x15:cacheHierarchy aggregatedColumn="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6"/>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admin" refreshedDate="46083.014350231482" createdVersion="5" refreshedVersion="6" minRefreshableVersion="3" recordCount="0" supportSubquery="1" supportAdvancedDrill="1">
  <cacheSource type="external" connectionId="3"/>
  <cacheFields count="4">
    <cacheField name="[Query1].[Calender Table (Month)].[Calender Table (Month)]" caption="Calender Table (Month)" numFmtId="0" hierarchy="15" level="1">
      <sharedItems containsSemiMixedTypes="0" containsNonDate="0" containsString="0"/>
    </cacheField>
    <cacheField name="[Hospital Emergency Room Data].[Age Group].[Age Group]" caption="Age Group" numFmtId="0" level="1">
      <sharedItems count="8">
        <s v="0-9"/>
        <s v="10-19"/>
        <s v="20-29"/>
        <s v="30-39"/>
        <s v="40-49"/>
        <s v="50-59"/>
        <s v="60-69"/>
        <s v="70-79"/>
      </sharedItems>
    </cacheField>
    <cacheField name="[Measures].[Count of Patient Age]" caption="Count of Patient Age" numFmtId="0" hierarchy="32" level="32767"/>
    <cacheField name="[Query1].[Calender Table (Year)].[Calender Table (Year)]" caption="Calender Table (Year)" numFmtId="0" hierarchy="17" level="1">
      <sharedItems containsSemiMixedTypes="0" containsNonDate="0" containsString="0"/>
    </cacheField>
  </cacheFields>
  <cacheHierarchies count="34">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Query1].[Calender Table]" caption="Calender Table" attribute="1" time="1" defaultMemberUniqueName="[Query1].[Calender Table].[All]" allUniqueName="[Query1].[Calender Table].[All]" dimensionUniqueName="[Query1]" displayFolder="" count="0" memberValueDatatype="7" unbalanced="0"/>
    <cacheHierarchy uniqueName="[Query1].[Calender Table (Day)]" caption="Calender Table (Day)" attribute="1" defaultMemberUniqueName="[Query1].[Calender Table (Day)].[All]" allUniqueName="[Query1].[Calender Table (Day)].[All]" dimensionUniqueName="[Query1]" displayFolder="" count="0" memberValueDatatype="130" unbalanced="0"/>
    <cacheHierarchy uniqueName="[Query1].[Calender Table (Month)]" caption="Calender Table (Month)" attribute="1" defaultMemberUniqueName="[Query1].[Calender Table (Month)].[All]" allUniqueName="[Query1].[Calender Table (Month)].[All]" dimensionUniqueName="[Query1]" displayFolder="" count="2" memberValueDatatype="130" unbalanced="0">
      <fieldsUsage count="2">
        <fieldUsage x="-1"/>
        <fieldUsage x="0"/>
      </fieldsUsage>
    </cacheHierarchy>
    <cacheHierarchy uniqueName="[Query1].[Calender Table (Quarter)]" caption="Calender Table (Quarter)" attribute="1" defaultMemberUniqueName="[Query1].[Calender Table (Quarter)].[All]" allUniqueName="[Query1].[Calender Table (Quarter)].[All]" dimensionUniqueName="[Query1]" displayFolder="" count="0" memberValueDatatype="130" unbalanced="0"/>
    <cacheHierarchy uniqueName="[Query1].[Calender Table (Year)]" caption="Calender Table (Year)" attribute="1" defaultMemberUniqueName="[Query1].[Calender Table (Year)].[All]" allUniqueName="[Query1].[Calender Table (Year)].[All]" dimensionUniqueName="[Query1]" displayFolder="" count="2" memberValueDatatype="130" unbalanced="0">
      <fieldsUsage count="2">
        <fieldUsage x="-1"/>
        <fieldUsage x="3"/>
      </fieldsUsage>
    </cacheHierarchy>
    <cacheHierarchy uniqueName="[Query1].[Calender Table (Day Index)]" caption="Calender Table (Day Index)" attribute="1" defaultMemberUniqueName="[Query1].[Calender Table (Day Index)].[All]" allUniqueName="[Query1].[Calender Table (Day Index)].[All]" dimensionUniqueName="[Query1]" displayFolder="" count="0" memberValueDatatype="5" unbalanced="0" hidden="1"/>
    <cacheHierarchy uniqueName="[Query1].[Calender Table (Month Index)]" caption="Calender Table (Month Index)" attribute="1" defaultMemberUniqueName="[Query1].[Calender Table (Month Index)].[All]" allUniqueName="[Query1].[Calender Table (Month Index)].[All]" dimensionUniqueName="[Query1]"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Age]" caption="Count of Patient Age" measure="1" displayFolder="" measureGroup="Hospital Emergency Room Data" count="0" oneField="1" hidden="1">
      <fieldsUsage count="1">
        <fieldUsage x="2"/>
      </fieldsUsage>
      <extLst>
        <ext xmlns:x15="http://schemas.microsoft.com/office/spreadsheetml/2010/11/main" uri="{B97F6D7D-B522-45F9-BDA1-12C45D357490}">
          <x15:cacheHierarchy aggregatedColumn="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6"/>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admin" refreshedDate="46083.014350925929" createdVersion="5" refreshedVersion="6" minRefreshableVersion="3" recordCount="0" supportSubquery="1" supportAdvancedDrill="1">
  <cacheSource type="external" connectionId="3"/>
  <cacheFields count="4">
    <cacheField name="[Query1].[Calender Table (Month)].[Calender Table (Month)]" caption="Calender Table (Month)" numFmtId="0" hierarchy="15" level="1">
      <sharedItems containsSemiMixedTypes="0" containsNonDate="0" containsString="0"/>
    </cacheField>
    <cacheField name="[Hospital Emergency Room Data].[Patient Attend Status].[Patient Attend Status]" caption="Patient Attend Status" numFmtId="0" hierarchy="5" level="1">
      <sharedItems count="2">
        <s v="Delay"/>
        <s v="on time"/>
      </sharedItems>
    </cacheField>
    <cacheField name="[Measures].[Count of Patient Attend Status]" caption="Count of Patient Attend Status" numFmtId="0" hierarchy="29" level="32767"/>
    <cacheField name="[Query1].[Calender Table (Year)].[Calender Table (Year)]" caption="Calender Table (Year)" numFmtId="0" hierarchy="17" level="1">
      <sharedItems containsSemiMixedTypes="0" containsNonDate="0" containsString="0"/>
    </cacheField>
  </cacheFields>
  <cacheHierarchies count="34">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Query1].[Calender Table]" caption="Calender Table" attribute="1" time="1" defaultMemberUniqueName="[Query1].[Calender Table].[All]" allUniqueName="[Query1].[Calender Table].[All]" dimensionUniqueName="[Query1]" displayFolder="" count="0" memberValueDatatype="7" unbalanced="0"/>
    <cacheHierarchy uniqueName="[Query1].[Calender Table (Day)]" caption="Calender Table (Day)" attribute="1" defaultMemberUniqueName="[Query1].[Calender Table (Day)].[All]" allUniqueName="[Query1].[Calender Table (Day)].[All]" dimensionUniqueName="[Query1]" displayFolder="" count="0" memberValueDatatype="130" unbalanced="0"/>
    <cacheHierarchy uniqueName="[Query1].[Calender Table (Month)]" caption="Calender Table (Month)" attribute="1" defaultMemberUniqueName="[Query1].[Calender Table (Month)].[All]" allUniqueName="[Query1].[Calender Table (Month)].[All]" dimensionUniqueName="[Query1]" displayFolder="" count="2" memberValueDatatype="130" unbalanced="0">
      <fieldsUsage count="2">
        <fieldUsage x="-1"/>
        <fieldUsage x="0"/>
      </fieldsUsage>
    </cacheHierarchy>
    <cacheHierarchy uniqueName="[Query1].[Calender Table (Quarter)]" caption="Calender Table (Quarter)" attribute="1" defaultMemberUniqueName="[Query1].[Calender Table (Quarter)].[All]" allUniqueName="[Query1].[Calender Table (Quarter)].[All]" dimensionUniqueName="[Query1]" displayFolder="" count="0" memberValueDatatype="130" unbalanced="0"/>
    <cacheHierarchy uniqueName="[Query1].[Calender Table (Year)]" caption="Calender Table (Year)" attribute="1" defaultMemberUniqueName="[Query1].[Calender Table (Year)].[All]" allUniqueName="[Query1].[Calender Table (Year)].[All]" dimensionUniqueName="[Query1]" displayFolder="" count="2" memberValueDatatype="130" unbalanced="0">
      <fieldsUsage count="2">
        <fieldUsage x="-1"/>
        <fieldUsage x="3"/>
      </fieldsUsage>
    </cacheHierarchy>
    <cacheHierarchy uniqueName="[Query1].[Calender Table (Day Index)]" caption="Calender Table (Day Index)" attribute="1" defaultMemberUniqueName="[Query1].[Calender Table (Day Index)].[All]" allUniqueName="[Query1].[Calender Table (Day Index)].[All]" dimensionUniqueName="[Query1]" displayFolder="" count="0" memberValueDatatype="5" unbalanced="0" hidden="1"/>
    <cacheHierarchy uniqueName="[Query1].[Calender Table (Month Index)]" caption="Calender Table (Month Index)" attribute="1" defaultMemberUniqueName="[Query1].[Calender Table (Month Index)].[All]" allUniqueName="[Query1].[Calender Table (Month Index)].[All]" dimensionUniqueName="[Query1]"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6"/>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admin" refreshedDate="46083.014351620368" createdVersion="5" refreshedVersion="6" minRefreshableVersion="3" recordCount="0" supportSubquery="1" supportAdvancedDrill="1">
  <cacheSource type="external" connectionId="3"/>
  <cacheFields count="4">
    <cacheField name="[Query1].[Calender Table (Month)].[Calender Table (Month)]" caption="Calender Table (Month)" numFmtId="0" hierarchy="15" level="1">
      <sharedItems containsSemiMixedTypes="0" containsNonDate="0" containsString="0"/>
    </cacheField>
    <cacheField name="[Hospital Emergency Room Data].[Patient Gender].[Patient Gender]" caption="Patient Gender" numFmtId="0" hierarchy="6" level="1">
      <sharedItems count="2">
        <s v="Female"/>
        <s v="Male"/>
      </sharedItems>
    </cacheField>
    <cacheField name="[Measures].[Count of Patient Gender]" caption="Count of Patient Gender" numFmtId="0" hierarchy="33" level="32767"/>
    <cacheField name="[Query1].[Calender Table (Year)].[Calender Table (Year)]" caption="Calender Table (Year)" numFmtId="0" hierarchy="17" level="1">
      <sharedItems containsSemiMixedTypes="0" containsNonDate="0" containsString="0"/>
    </cacheField>
  </cacheFields>
  <cacheHierarchies count="34">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Query1].[Calender Table]" caption="Calender Table" attribute="1" time="1" defaultMemberUniqueName="[Query1].[Calender Table].[All]" allUniqueName="[Query1].[Calender Table].[All]" dimensionUniqueName="[Query1]" displayFolder="" count="0" memberValueDatatype="7" unbalanced="0"/>
    <cacheHierarchy uniqueName="[Query1].[Calender Table (Day)]" caption="Calender Table (Day)" attribute="1" defaultMemberUniqueName="[Query1].[Calender Table (Day)].[All]" allUniqueName="[Query1].[Calender Table (Day)].[All]" dimensionUniqueName="[Query1]" displayFolder="" count="0" memberValueDatatype="130" unbalanced="0"/>
    <cacheHierarchy uniqueName="[Query1].[Calender Table (Month)]" caption="Calender Table (Month)" attribute="1" defaultMemberUniqueName="[Query1].[Calender Table (Month)].[All]" allUniqueName="[Query1].[Calender Table (Month)].[All]" dimensionUniqueName="[Query1]" displayFolder="" count="2" memberValueDatatype="130" unbalanced="0">
      <fieldsUsage count="2">
        <fieldUsage x="-1"/>
        <fieldUsage x="0"/>
      </fieldsUsage>
    </cacheHierarchy>
    <cacheHierarchy uniqueName="[Query1].[Calender Table (Quarter)]" caption="Calender Table (Quarter)" attribute="1" defaultMemberUniqueName="[Query1].[Calender Table (Quarter)].[All]" allUniqueName="[Query1].[Calender Table (Quarter)].[All]" dimensionUniqueName="[Query1]" displayFolder="" count="0" memberValueDatatype="130" unbalanced="0"/>
    <cacheHierarchy uniqueName="[Query1].[Calender Table (Year)]" caption="Calender Table (Year)" attribute="1" defaultMemberUniqueName="[Query1].[Calender Table (Year)].[All]" allUniqueName="[Query1].[Calender Table (Year)].[All]" dimensionUniqueName="[Query1]" displayFolder="" count="2" memberValueDatatype="130" unbalanced="0">
      <fieldsUsage count="2">
        <fieldUsage x="-1"/>
        <fieldUsage x="3"/>
      </fieldsUsage>
    </cacheHierarchy>
    <cacheHierarchy uniqueName="[Query1].[Calender Table (Day Index)]" caption="Calender Table (Day Index)" attribute="1" defaultMemberUniqueName="[Query1].[Calender Table (Day Index)].[All]" allUniqueName="[Query1].[Calender Table (Day Index)].[All]" dimensionUniqueName="[Query1]" displayFolder="" count="0" memberValueDatatype="5" unbalanced="0" hidden="1"/>
    <cacheHierarchy uniqueName="[Query1].[Calender Table (Month Index)]" caption="Calender Table (Month Index)" attribute="1" defaultMemberUniqueName="[Query1].[Calender Table (Month Index)].[All]" allUniqueName="[Query1].[Calender Table (Month Index)].[All]" dimensionUniqueName="[Query1]"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6"/>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admin" refreshedDate="46083.014352314814" createdVersion="5" refreshedVersion="6" minRefreshableVersion="3" recordCount="0" supportSubquery="1" supportAdvancedDrill="1">
  <cacheSource type="external" connectionId="3"/>
  <cacheFields count="2">
    <cacheField name="[Query1].[Calender Table (Month)].[Calender Table (Month)]" caption="Calender Table (Month)" numFmtId="0" hierarchy="15" level="1">
      <sharedItems containsSemiMixedTypes="0" containsNonDate="0" containsString="0"/>
    </cacheField>
    <cacheField name="[Query1].[Calender Table (Year)].[Calender Table (Year)]" caption="Calender Table (Year)" numFmtId="0" hierarchy="17" level="1">
      <sharedItems count="1">
        <s v="2023"/>
      </sharedItems>
    </cacheField>
  </cacheFields>
  <cacheHierarchies count="34">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Time]" caption="Time" attribute="1" time="1" defaultMemberUniqueName="[Hospital Emergency Room Data].[Time].[All]" allUniqueName="[Hospital Emergency Room Data].[Time].[All]" dimensionUniqueName="[Hospital Emergency Room Data]" displayFolder="" count="2" memberValueDatatype="7" unbalanced="0"/>
    <cacheHierarchy uniqueName="[Query1].[Calender Table]" caption="Calender Table" attribute="1" time="1" defaultMemberUniqueName="[Query1].[Calender Table].[All]" allUniqueName="[Query1].[Calender Table].[All]" dimensionUniqueName="[Query1]" displayFolder="" count="2" memberValueDatatype="7" unbalanced="0"/>
    <cacheHierarchy uniqueName="[Query1].[Calender Table (Day)]" caption="Calender Table (Day)" attribute="1" defaultMemberUniqueName="[Query1].[Calender Table (Day)].[All]" allUniqueName="[Query1].[Calender Table (Day)].[All]" dimensionUniqueName="[Query1]" displayFolder="" count="2" memberValueDatatype="130" unbalanced="0"/>
    <cacheHierarchy uniqueName="[Query1].[Calender Table (Month)]" caption="Calender Table (Month)" attribute="1" defaultMemberUniqueName="[Query1].[Calender Table (Month)].[All]" allUniqueName="[Query1].[Calender Table (Month)].[All]" dimensionUniqueName="[Query1]" displayFolder="" count="2" memberValueDatatype="130" unbalanced="0">
      <fieldsUsage count="2">
        <fieldUsage x="-1"/>
        <fieldUsage x="0"/>
      </fieldsUsage>
    </cacheHierarchy>
    <cacheHierarchy uniqueName="[Query1].[Calender Table (Quarter)]" caption="Calender Table (Quarter)" attribute="1" defaultMemberUniqueName="[Query1].[Calender Table (Quarter)].[All]" allUniqueName="[Query1].[Calender Table (Quarter)].[All]" dimensionUniqueName="[Query1]" displayFolder="" count="2" memberValueDatatype="130" unbalanced="0"/>
    <cacheHierarchy uniqueName="[Query1].[Calender Table (Year)]" caption="Calender Table (Year)" attribute="1" defaultMemberUniqueName="[Query1].[Calender Table (Year)].[All]" allUniqueName="[Query1].[Calender Table (Year)].[All]" dimensionUniqueName="[Query1]" displayFolder="" count="2" memberValueDatatype="130" unbalanced="0">
      <fieldsUsage count="2">
        <fieldUsage x="-1"/>
        <fieldUsage x="1"/>
      </fieldsUsage>
    </cacheHierarchy>
    <cacheHierarchy uniqueName="[Query1].[Calender Table (Day Index)]" caption="Calender Table (Day Index)" attribute="1" defaultMemberUniqueName="[Query1].[Calender Table (Day Index)].[All]" allUniqueName="[Query1].[Calender Table (Day Index)].[All]" dimensionUniqueName="[Query1]" displayFolder="" count="2" memberValueDatatype="5" unbalanced="0" hidden="1"/>
    <cacheHierarchy uniqueName="[Query1].[Calender Table (Month Index)]" caption="Calender Table (Month Index)" attribute="1" defaultMemberUniqueName="[Query1].[Calender Table (Month Index)].[All]" allUniqueName="[Query1].[Calender Table (Month Index)].[All]" dimensionUniqueName="[Query1]"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6"/>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admin" refreshedDate="46082.00456342593" createdVersion="3" refreshedVersion="6" minRefreshableVersion="3" recordCount="0" supportSubquery="1" supportAdvancedDrill="1">
  <cacheSource type="external" connectionId="3">
    <extLst>
      <ext xmlns:x14="http://schemas.microsoft.com/office/spreadsheetml/2009/9/main" uri="{F057638F-6D5F-4e77-A914-E7F072B9BCA8}">
        <x14:sourceConnection name="ThisWorkbookDataModel"/>
      </ext>
    </extLst>
  </cacheSource>
  <cacheFields count="0"/>
  <cacheHierarchies count="29">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Query1].[Calender Table]" caption="Calender Table" attribute="1" time="1" defaultMemberUniqueName="[Query1].[Calender Table].[All]" allUniqueName="[Query1].[Calender Table].[All]" dimensionUniqueName="[Query1]" displayFolder="" count="0" memberValueDatatype="7" unbalanced="0"/>
    <cacheHierarchy uniqueName="[Query1].[Calender Table (Day)]" caption="Calender Table (Day)" attribute="1" defaultMemberUniqueName="[Query1].[Calender Table (Day)].[All]" allUniqueName="[Query1].[Calender Table (Day)].[All]" dimensionUniqueName="[Query1]" displayFolder="" count="0" memberValueDatatype="130" unbalanced="0"/>
    <cacheHierarchy uniqueName="[Query1].[Calender Table (Month)]" caption="Calender Table (Month)" attribute="1" defaultMemberUniqueName="[Query1].[Calender Table (Month)].[All]" allUniqueName="[Query1].[Calender Table (Month)].[All]" dimensionUniqueName="[Query1]" displayFolder="" count="2" memberValueDatatype="130" unbalanced="0"/>
    <cacheHierarchy uniqueName="[Query1].[Calender Table (Quarter)]" caption="Calender Table (Quarter)" attribute="1" defaultMemberUniqueName="[Query1].[Calender Table (Quarter)].[All]" allUniqueName="[Query1].[Calender Table (Quarter)].[All]" dimensionUniqueName="[Query1]" displayFolder="" count="0" memberValueDatatype="130" unbalanced="0"/>
    <cacheHierarchy uniqueName="[Query1].[Calender Table (Year)]" caption="Calender Table (Year)" attribute="1" defaultMemberUniqueName="[Query1].[Calender Table (Year)].[All]" allUniqueName="[Query1].[Calender Table (Year)].[All]" dimensionUniqueName="[Query1]" displayFolder="" count="2" memberValueDatatype="130" unbalanced="0"/>
    <cacheHierarchy uniqueName="[Query1].[Calender Table (Day Index)]" caption="Calender Table (Day Index)" attribute="1" defaultMemberUniqueName="[Query1].[Calender Table (Day Index)].[All]" allUniqueName="[Query1].[Calender Table (Day Index)].[All]" dimensionUniqueName="[Query1]" displayFolder="" count="0" memberValueDatatype="5" unbalanced="0" hidden="1"/>
    <cacheHierarchy uniqueName="[Query1].[Calender Table (Month Index)]" caption="Calender Table (Month Index)" attribute="1" defaultMemberUniqueName="[Query1].[Calender Table (Month Index)].[All]" allUniqueName="[Query1].[Calender Table (Month Index)].[All]" dimensionUniqueName="[Query1]"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Query1]" caption="__XL_Count Query1" measure="1" displayFolder="" measureGroup="Query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name="PivotTable10" cacheId="9" applyNumberFormats="0" applyBorderFormats="0" applyFontFormats="0" applyPatternFormats="0" applyAlignmentFormats="0" applyWidthHeightFormats="1" dataCaption="Values" tag="f3b6286a-1c08-45d9-a147-b0ae145af3bd" updatedVersion="6" minRefreshableVersion="3" useAutoFormatting="1" subtotalHiddenItems="1" itemPrintTitles="1" createdVersion="5" indent="0" outline="1" outlineData="1" multipleFieldFilters="0" chartFormat="9">
  <location ref="A28:B31" firstHeaderRow="1" firstDataRow="1" firstDataCol="1"/>
  <pivotFields count="4">
    <pivotField allDrilled="1" showAll="0" dataSourceSort="1" defaultAttributeDrillState="1"/>
    <pivotField axis="axisRow" allDrilled="1" showAll="0" dataSourceSort="1" defaultAttributeDrillState="1">
      <items count="3">
        <item x="0"/>
        <item x="1"/>
        <item t="default"/>
      </items>
    </pivotField>
    <pivotField dataField="1" showAll="0"/>
    <pivotField allDrilled="1" showAll="0" dataSourceSort="1"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3">
      <pivotArea outline="0" collapsedLevelsAreSubtotals="1" fieldPosition="0"/>
    </format>
  </formats>
  <chartFormats count="7">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1" count="1" selected="0">
            <x v="0"/>
          </reference>
        </references>
      </pivotArea>
    </chartFormat>
    <chartFormat chart="7" format="3">
      <pivotArea type="data" outline="0" fieldPosition="0">
        <references count="2">
          <reference field="4294967294" count="1" selected="0">
            <x v="0"/>
          </reference>
          <reference field="1"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 count="1" selected="0">
            <x v="0"/>
          </reference>
        </references>
      </pivotArea>
    </chartFormat>
    <chartFormat chart="8"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Calender Table (Month)].&amp;[Aug]"/>
      </members>
    </pivotHierarchy>
    <pivotHierarchy dragToData="1"/>
    <pivotHierarchy multipleItemSelectionAllowed="1" dragToData="1">
      <members count="1" level="1">
        <member name="[Query1].[Calender Table (Year)].&amp;[2023]"/>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Query1]"/>
      </x15:pivotTableUISettings>
    </ext>
  </extLst>
</pivotTableDefinition>
</file>

<file path=xl/pivotTables/pivotTable2.xml><?xml version="1.0" encoding="utf-8"?>
<pivotTableDefinition xmlns="http://schemas.openxmlformats.org/spreadsheetml/2006/main" name="PivotTable11" cacheId="10" applyNumberFormats="0" applyBorderFormats="0" applyFontFormats="0" applyPatternFormats="0" applyAlignmentFormats="0" applyWidthHeightFormats="1" dataCaption="Values" tag="f3b6286a-1c08-45d9-a147-b0ae145af3bd" updatedVersion="6" minRefreshableVersion="3" useAutoFormatting="1" subtotalHiddenItems="1" itemPrintTitles="1" createdVersion="5" indent="0" outline="1" outlineData="1" multipleFieldFilters="0" chartFormat="9">
  <location ref="A33:A35" firstHeaderRow="1" firstDataRow="1" firstDataCol="1"/>
  <pivotFields count="2">
    <pivotField allDrilled="1" showAll="0" dataSourceSort="1" defaultAttributeDrillState="1"/>
    <pivotField axis="axisRow" allDrilled="1" showAll="0" dataSourceSort="1" defaultAttributeDrillState="1">
      <items count="2">
        <item s="1" x="0"/>
        <item t="default"/>
      </items>
    </pivotField>
  </pivotFields>
  <rowFields count="1">
    <field x="1"/>
  </rowFields>
  <rowItems count="2">
    <i>
      <x/>
    </i>
    <i t="grand">
      <x/>
    </i>
  </rowItems>
  <formats count="1">
    <format dxfId="4">
      <pivotArea outline="0" collapsedLevelsAreSubtotals="1" fieldPosition="0"/>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Calender Table (Month)].&amp;[Aug]"/>
      </members>
    </pivotHierarchy>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Query1]"/>
      </x15:pivotTableUISettings>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tag="e4a6afb9-e1d9-45ea-9e24-88f18cb70ef5" updatedVersion="6" minRefreshableVersion="3" useAutoFormatting="1" itemPrintTitles="1" createdVersion="5" indent="0" outline="1" outlineData="1" multipleFieldFilters="0" chartFormat="7">
  <location ref="D2:E34" firstHeaderRow="1" firstDataRow="1" firstDataCol="1"/>
  <pivotFields count="4">
    <pivotField dataField="1" showAll="0"/>
    <pivotField axis="axisRow" allDrilled="1" showAll="0" dataSourceSort="1">
      <items count="32">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t="default"/>
      </items>
    </pivotField>
    <pivotField allDrilled="1" showAll="0" dataSourceSort="1" defaultAttributeDrillState="1"/>
    <pivotField allDrilled="1" showAll="0" dataSourceSort="1"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34859664">
      <extLst>
        <ext xmlns:x15="http://schemas.microsoft.com/office/spreadsheetml/2010/11/main" uri="{FABC7310-3BB5-11E1-824E-6D434824019B}">
          <x15:dataField isCountDistinct="1"/>
        </ext>
      </extLst>
    </dataField>
  </dataFields>
  <chartFormats count="4">
    <chartFormat chart="2"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Calender Table (Month)].&amp;[Aug]"/>
      </members>
    </pivotHierarchy>
    <pivotHierarchy dragToData="1"/>
    <pivotHierarchy multipleItemSelectionAllowed="1" dragToData="1">
      <members count="1" level="1">
        <member name="[Query1].[Calender Table (Year)].&amp;[2023]"/>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Query1]"/>
      </x15:pivotTableUISettings>
    </ext>
  </extLst>
</pivotTableDefinition>
</file>

<file path=xl/pivotTables/pivotTable4.xml><?xml version="1.0" encoding="utf-8"?>
<pivotTableDefinition xmlns="http://schemas.openxmlformats.org/spreadsheetml/2006/main" name="PivotTable2" cacheId="2" applyNumberFormats="0" applyBorderFormats="0" applyFontFormats="0" applyPatternFormats="0" applyAlignmentFormats="0" applyWidthHeightFormats="1" dataCaption="Values" tag="4be30440-e0cc-409d-aa67-7251cbd3d4de" updatedVersion="6" minRefreshableVersion="3" useAutoFormatting="1" itemPrintTitles="1" createdVersion="5" indent="0" outline="1" outlineData="1" multipleFieldFilters="0">
  <location ref="A4:A5" firstHeaderRow="1" firstDataRow="1" firstDataCol="0"/>
  <pivotFields count="3">
    <pivotField dataField="1" showAll="0"/>
    <pivotField allDrilled="1" showAll="0" dataSourceSort="1" defaultAttributeDrillState="1"/>
    <pivotField allDrilled="1" showAll="0" dataSourceSort="1" defaultAttributeDrillState="1"/>
  </pivotFields>
  <rowItems count="1">
    <i/>
  </rowItems>
  <colItems count="1">
    <i/>
  </colItems>
  <dataFields count="1">
    <dataField name="Average of Patient Waittime" fld="0" subtotal="average" baseField="0" baseItem="34859664" numFmtId="2"/>
  </dataFields>
  <formats count="1">
    <format dxfId="5">
      <pivotArea outline="0" collapsedLevelsAreSubtotals="1" fieldPosition="0"/>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Calender Table (Month)].&amp;[Aug]"/>
      </members>
    </pivotHierarchy>
    <pivotHierarchy dragToData="1"/>
    <pivotHierarchy multipleItemSelectionAllowed="1" dragToData="1">
      <members count="1" level="1">
        <member name="[Query1].[Calender Table (Year)].&amp;[2023]"/>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Lst>
</pivotTableDefinition>
</file>

<file path=xl/pivotTables/pivotTable5.xml><?xml version="1.0" encoding="utf-8"?>
<pivotTableDefinition xmlns="http://schemas.openxmlformats.org/spreadsheetml/2006/main" name="PivotTable8" cacheId="7" applyNumberFormats="0" applyBorderFormats="0" applyFontFormats="0" applyPatternFormats="0" applyAlignmentFormats="0" applyWidthHeightFormats="1" dataCaption="Values" tag="f3b6286a-1c08-45d9-a147-b0ae145af3bd" updatedVersion="6" minRefreshableVersion="3" useAutoFormatting="1" itemPrintTitles="1" createdVersion="5" indent="0" outline="1" outlineData="1" multipleFieldFilters="0" chartFormat="3">
  <location ref="A17:B26" firstHeaderRow="1" firstDataRow="1" firstDataCol="1"/>
  <pivotFields count="4">
    <pivotField allDrilled="1" showAll="0" dataSourceSort="1" defaultAttributeDrillState="1"/>
    <pivotField axis="axisRow" allDrilled="1" showAll="0" dataSourceSort="1" defaultAttributeDrillState="1">
      <items count="9">
        <item x="0"/>
        <item x="1"/>
        <item x="2"/>
        <item x="3"/>
        <item x="4"/>
        <item x="5"/>
        <item x="6"/>
        <item x="7"/>
        <item t="default"/>
      </items>
    </pivotField>
    <pivotField dataField="1" showAll="0"/>
    <pivotField allDrilled="1" showAll="0" dataSourceSort="1" defaultAttributeDrillState="1"/>
  </pivotFields>
  <rowFields count="1">
    <field x="1"/>
  </rowFields>
  <rowItems count="9">
    <i>
      <x/>
    </i>
    <i>
      <x v="1"/>
    </i>
    <i>
      <x v="2"/>
    </i>
    <i>
      <x v="3"/>
    </i>
    <i>
      <x v="4"/>
    </i>
    <i>
      <x v="5"/>
    </i>
    <i>
      <x v="6"/>
    </i>
    <i>
      <x v="7"/>
    </i>
    <i t="grand">
      <x/>
    </i>
  </rowItems>
  <colItems count="1">
    <i/>
  </colItems>
  <dataFields count="1">
    <dataField name="Count of Patient Age" fld="2" subtotal="count" baseField="1" baseItem="0"/>
  </dataFields>
  <formats count="1">
    <format dxfId="6">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Calender Table (Month)].&amp;[Aug]"/>
      </members>
    </pivotHierarchy>
    <pivotHierarchy dragToData="1"/>
    <pivotHierarchy multipleItemSelectionAllowed="1" dragToData="1">
      <members count="1" level="1">
        <member name="[Query1].[Calender Table (Year)].&amp;[2023]"/>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Query1]"/>
      </x15:pivotTableUISettings>
    </ext>
  </extLst>
</pivotTableDefinition>
</file>

<file path=xl/pivotTables/pivotTable6.xml><?xml version="1.0" encoding="utf-8"?>
<pivotTableDefinition xmlns="http://schemas.openxmlformats.org/spreadsheetml/2006/main" name="PivotTable9" cacheId="8" applyNumberFormats="0" applyBorderFormats="0" applyFontFormats="0" applyPatternFormats="0" applyAlignmentFormats="0" applyWidthHeightFormats="1" dataCaption="Values" tag="f3b6286a-1c08-45d9-a147-b0ae145af3bd" updatedVersion="6" minRefreshableVersion="3" useAutoFormatting="1" itemPrintTitles="1" createdVersion="5" indent="0" outline="1" outlineData="1" multipleFieldFilters="0" chartFormat="6">
  <location ref="O1:P4" firstHeaderRow="1" firstDataRow="1" firstDataCol="1"/>
  <pivotFields count="4">
    <pivotField allDrilled="1" showAll="0" dataSourceSort="1" defaultAttributeDrillState="1"/>
    <pivotField axis="axisRow" allDrilled="1" showAll="0" dataSourceSort="1" defaultAttributeDrillState="1">
      <items count="3">
        <item x="0"/>
        <item x="1"/>
        <item t="default"/>
      </items>
    </pivotField>
    <pivotField dataField="1" showAll="0"/>
    <pivotField allDrilled="1" showAll="0" dataSourceSort="1"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7">
      <pivotArea outline="0" collapsedLevelsAreSubtotals="1" fieldPosition="0"/>
    </format>
  </formats>
  <chartFormats count="4">
    <chartFormat chart="3"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 count="1" selected="0">
            <x v="0"/>
          </reference>
        </references>
      </pivotArea>
    </chartFormat>
    <chartFormat chart="5"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Calender Table (Month)].&amp;[Aug]"/>
      </members>
    </pivotHierarchy>
    <pivotHierarchy dragToData="1"/>
    <pivotHierarchy multipleItemSelectionAllowed="1" dragToData="1">
      <members count="1" level="1">
        <member name="[Query1].[Calender Table (Year)].&amp;[2023]"/>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Query1]"/>
      </x15:pivotTableUISettings>
    </ext>
  </extLst>
</pivotTableDefinition>
</file>

<file path=xl/pivotTables/pivotTable7.xml><?xml version="1.0" encoding="utf-8"?>
<pivotTableDefinition xmlns="http://schemas.openxmlformats.org/spreadsheetml/2006/main" name="PivotTable5" cacheId="4" applyNumberFormats="0" applyBorderFormats="0" applyFontFormats="0" applyPatternFormats="0" applyAlignmentFormats="0" applyWidthHeightFormats="1" dataCaption="Values" tag="e4a6afb9-e1d9-45ea-9e24-88f18cb70ef5" updatedVersion="6" minRefreshableVersion="3" useAutoFormatting="1" subtotalHiddenItems="1" itemPrintTitles="1" createdVersion="5" indent="0" outline="1" outlineData="1" multipleFieldFilters="0" chartFormat="18">
  <location ref="H2:I34" firstHeaderRow="1" firstDataRow="1" firstDataCol="1"/>
  <pivotFields count="4">
    <pivotField axis="axisRow" allDrilled="1" showAll="0" dataSourceSort="1">
      <items count="63">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 x="33" e="0"/>
        <item x="34" e="0"/>
        <item x="35" e="0"/>
        <item x="36" e="0"/>
        <item x="37" e="0"/>
        <item x="38" e="0"/>
        <item x="39" e="0"/>
        <item x="40" e="0"/>
        <item x="41" e="0"/>
        <item x="42" e="0"/>
        <item x="43" e="0"/>
        <item x="44" e="0"/>
        <item x="45" e="0"/>
        <item x="46" e="0"/>
        <item x="47" e="0"/>
        <item x="48" e="0"/>
        <item x="49" e="0"/>
        <item x="50" e="0"/>
        <item x="51" e="0"/>
        <item x="52" e="0"/>
        <item x="53" e="0"/>
        <item x="54" e="0"/>
        <item x="55" e="0"/>
        <item x="56" e="0"/>
        <item x="57" e="0"/>
        <item x="58" e="0"/>
        <item x="59" e="0"/>
        <item x="60" e="0"/>
        <item x="61" e="0"/>
        <item t="default"/>
      </items>
    </pivotField>
    <pivotField allDrilled="1" showAll="0" dataSourceSort="1" defaultAttributeDrillState="1"/>
    <pivotField dataField="1" showAll="0"/>
    <pivotField allDrilled="1" showAll="0" dataSourceSort="1"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20">
    <format dxfId="27">
      <pivotArea collapsedLevelsAreSubtotals="1" fieldPosition="0">
        <references count="1">
          <reference field="0" count="1">
            <x v="31"/>
          </reference>
        </references>
      </pivotArea>
    </format>
    <format dxfId="26">
      <pivotArea collapsedLevelsAreSubtotals="1" fieldPosition="0">
        <references count="1">
          <reference field="0" count="1">
            <x v="31"/>
          </reference>
        </references>
      </pivotArea>
    </format>
    <format dxfId="25">
      <pivotArea collapsedLevelsAreSubtotals="1" fieldPosition="0">
        <references count="1">
          <reference field="0" count="1">
            <x v="31"/>
          </reference>
        </references>
      </pivotArea>
    </format>
    <format dxfId="24">
      <pivotArea collapsedLevelsAreSubtotals="1" fieldPosition="0">
        <references count="1">
          <reference field="0" count="1">
            <x v="31"/>
          </reference>
        </references>
      </pivotArea>
    </format>
    <format dxfId="23">
      <pivotArea collapsedLevelsAreSubtotals="1" fieldPosition="0">
        <references count="1">
          <reference field="0" count="1">
            <x v="31"/>
          </reference>
        </references>
      </pivotArea>
    </format>
    <format dxfId="22">
      <pivotArea collapsedLevelsAreSubtotals="1" fieldPosition="0">
        <references count="1">
          <reference field="0" count="1">
            <x v="31"/>
          </reference>
        </references>
      </pivotArea>
    </format>
    <format dxfId="21">
      <pivotArea collapsedLevelsAreSubtotals="1" fieldPosition="0">
        <references count="1">
          <reference field="0" count="1">
            <x v="31"/>
          </reference>
        </references>
      </pivotArea>
    </format>
    <format dxfId="20">
      <pivotArea collapsedLevelsAreSubtotals="1" fieldPosition="0">
        <references count="1">
          <reference field="0" count="1">
            <x v="31"/>
          </reference>
        </references>
      </pivotArea>
    </format>
    <format dxfId="19">
      <pivotArea collapsedLevelsAreSubtotals="1" fieldPosition="0">
        <references count="1">
          <reference field="0" count="30">
            <x v="32"/>
            <x v="33"/>
            <x v="34"/>
            <x v="35"/>
            <x v="36"/>
            <x v="37"/>
            <x v="38"/>
            <x v="39"/>
            <x v="40"/>
            <x v="41"/>
            <x v="42"/>
            <x v="43"/>
            <x v="44"/>
            <x v="45"/>
            <x v="46"/>
            <x v="47"/>
            <x v="48"/>
            <x v="49"/>
            <x v="50"/>
            <x v="51"/>
            <x v="52"/>
            <x v="53"/>
            <x v="54"/>
            <x v="55"/>
            <x v="56"/>
            <x v="57"/>
            <x v="58"/>
            <x v="59"/>
            <x v="60"/>
            <x v="61"/>
          </reference>
        </references>
      </pivotArea>
    </format>
    <format dxfId="18">
      <pivotArea grandRow="1" outline="0" collapsedLevelsAreSubtotals="1" fieldPosition="0"/>
    </format>
    <format dxfId="17">
      <pivotArea collapsedLevelsAreSubtotals="1" fieldPosition="0">
        <references count="1">
          <reference field="0" count="30">
            <x v="32"/>
            <x v="33"/>
            <x v="34"/>
            <x v="35"/>
            <x v="36"/>
            <x v="37"/>
            <x v="38"/>
            <x v="39"/>
            <x v="40"/>
            <x v="41"/>
            <x v="42"/>
            <x v="43"/>
            <x v="44"/>
            <x v="45"/>
            <x v="46"/>
            <x v="47"/>
            <x v="48"/>
            <x v="49"/>
            <x v="50"/>
            <x v="51"/>
            <x v="52"/>
            <x v="53"/>
            <x v="54"/>
            <x v="55"/>
            <x v="56"/>
            <x v="57"/>
            <x v="58"/>
            <x v="59"/>
            <x v="60"/>
            <x v="61"/>
          </reference>
        </references>
      </pivotArea>
    </format>
    <format dxfId="16">
      <pivotArea grandRow="1" outline="0" collapsedLevelsAreSubtotals="1" fieldPosition="0"/>
    </format>
    <format dxfId="15">
      <pivotArea collapsedLevelsAreSubtotals="1" fieldPosition="0">
        <references count="1">
          <reference field="0" count="30">
            <x v="32"/>
            <x v="33"/>
            <x v="34"/>
            <x v="35"/>
            <x v="36"/>
            <x v="37"/>
            <x v="38"/>
            <x v="39"/>
            <x v="40"/>
            <x v="41"/>
            <x v="42"/>
            <x v="43"/>
            <x v="44"/>
            <x v="45"/>
            <x v="46"/>
            <x v="47"/>
            <x v="48"/>
            <x v="49"/>
            <x v="50"/>
            <x v="51"/>
            <x v="52"/>
            <x v="53"/>
            <x v="54"/>
            <x v="55"/>
            <x v="56"/>
            <x v="57"/>
            <x v="58"/>
            <x v="59"/>
            <x v="60"/>
            <x v="61"/>
          </reference>
        </references>
      </pivotArea>
    </format>
    <format dxfId="14">
      <pivotArea grandRow="1" outline="0" collapsedLevelsAreSubtotals="1" fieldPosition="0"/>
    </format>
    <format dxfId="13">
      <pivotArea collapsedLevelsAreSubtotals="1" fieldPosition="0">
        <references count="1">
          <reference field="0" count="30">
            <x v="32"/>
            <x v="33"/>
            <x v="34"/>
            <x v="35"/>
            <x v="36"/>
            <x v="37"/>
            <x v="38"/>
            <x v="39"/>
            <x v="40"/>
            <x v="41"/>
            <x v="42"/>
            <x v="43"/>
            <x v="44"/>
            <x v="45"/>
            <x v="46"/>
            <x v="47"/>
            <x v="48"/>
            <x v="49"/>
            <x v="50"/>
            <x v="51"/>
            <x v="52"/>
            <x v="53"/>
            <x v="54"/>
            <x v="55"/>
            <x v="56"/>
            <x v="57"/>
            <x v="58"/>
            <x v="59"/>
            <x v="60"/>
            <x v="61"/>
          </reference>
        </references>
      </pivotArea>
    </format>
    <format dxfId="12">
      <pivotArea grandRow="1" outline="0" collapsedLevelsAreSubtotals="1" fieldPosition="0"/>
    </format>
    <format dxfId="11">
      <pivotArea collapsedLevelsAreSubtotals="1" fieldPosition="0">
        <references count="1">
          <reference field="0" count="30">
            <x v="32"/>
            <x v="33"/>
            <x v="34"/>
            <x v="35"/>
            <x v="36"/>
            <x v="37"/>
            <x v="38"/>
            <x v="39"/>
            <x v="40"/>
            <x v="41"/>
            <x v="42"/>
            <x v="43"/>
            <x v="44"/>
            <x v="45"/>
            <x v="46"/>
            <x v="47"/>
            <x v="48"/>
            <x v="49"/>
            <x v="50"/>
            <x v="51"/>
            <x v="52"/>
            <x v="53"/>
            <x v="54"/>
            <x v="55"/>
            <x v="56"/>
            <x v="57"/>
            <x v="58"/>
            <x v="59"/>
            <x v="60"/>
            <x v="61"/>
          </reference>
        </references>
      </pivotArea>
    </format>
    <format dxfId="10">
      <pivotArea grandRow="1" outline="0" collapsedLevelsAreSubtotals="1" fieldPosition="0"/>
    </format>
    <format dxfId="9">
      <pivotArea collapsedLevelsAreSubtotals="1" fieldPosition="0">
        <references count="1">
          <reference field="0" count="30">
            <x v="32"/>
            <x v="33"/>
            <x v="34"/>
            <x v="35"/>
            <x v="36"/>
            <x v="37"/>
            <x v="38"/>
            <x v="39"/>
            <x v="40"/>
            <x v="41"/>
            <x v="42"/>
            <x v="43"/>
            <x v="44"/>
            <x v="45"/>
            <x v="46"/>
            <x v="47"/>
            <x v="48"/>
            <x v="49"/>
            <x v="50"/>
            <x v="51"/>
            <x v="52"/>
            <x v="53"/>
            <x v="54"/>
            <x v="55"/>
            <x v="56"/>
            <x v="57"/>
            <x v="58"/>
            <x v="59"/>
            <x v="60"/>
            <x v="61"/>
          </reference>
        </references>
      </pivotArea>
    </format>
    <format dxfId="8">
      <pivotArea grandRow="1" outline="0" collapsedLevelsAreSubtotals="1" fieldPosition="0"/>
    </format>
  </formats>
  <chartFormats count="7">
    <chartFormat chart="9"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Calender Table (Month)].&amp;[Aug]"/>
      </members>
    </pivotHierarchy>
    <pivotHierarchy dragToData="1"/>
    <pivotHierarchy multipleItemSelectionAllowed="1" dragToData="1">
      <members count="1" level="1">
        <member name="[Query1].[Calender Table (Year)].&amp;[2023]"/>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Query1]"/>
      </x15:pivotTableUISettings>
    </ext>
  </extLst>
</pivotTableDefinition>
</file>

<file path=xl/pivotTables/pivotTable8.xml><?xml version="1.0" encoding="utf-8"?>
<pivotTableDefinition xmlns="http://schemas.openxmlformats.org/spreadsheetml/2006/main" name="PivotTable3" cacheId="3" applyNumberFormats="0" applyBorderFormats="0" applyFontFormats="0" applyPatternFormats="0" applyAlignmentFormats="0" applyWidthHeightFormats="1" dataCaption="Values" tag="f3b6286a-1c08-45d9-a147-b0ae145af3bd" updatedVersion="6" minRefreshableVersion="3" useAutoFormatting="1" itemPrintTitles="1" createdVersion="5" indent="0" outline="1" outlineData="1" multipleFieldFilters="0">
  <location ref="A7:A8" firstHeaderRow="1" firstDataRow="1" firstDataCol="0"/>
  <pivotFields count="3">
    <pivotField dataField="1" showAll="0"/>
    <pivotField allDrilled="1" showAll="0" dataSourceSort="1" defaultAttributeDrillState="1"/>
    <pivotField allDrilled="1" showAll="0" dataSourceSort="1" defaultAttributeDrillState="1"/>
  </pivotFields>
  <rowItems count="1">
    <i/>
  </rowItems>
  <colItems count="1">
    <i/>
  </colItems>
  <dataFields count="1">
    <dataField name="Average of Patient Satisfaction Score" fld="0" subtotal="average" baseField="0" baseItem="34859664"/>
  </dataFields>
  <formats count="1">
    <format dxfId="28">
      <pivotArea outline="0" collapsedLevelsAreSubtotals="1" fieldPosition="0"/>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Calender Table (Month)].&amp;[Aug]"/>
      </members>
    </pivotHierarchy>
    <pivotHierarchy dragToData="1"/>
    <pivotHierarchy multipleItemSelectionAllowed="1" dragToData="1">
      <members count="1" level="1">
        <member name="[Query1].[Calender Table (Year)].&amp;[2023]"/>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Query1]"/>
      </x15:pivotTableUISettings>
    </ext>
  </extLst>
</pivotTableDefinition>
</file>

<file path=xl/pivotTables/pivotTable9.xml><?xml version="1.0" encoding="utf-8"?>
<pivotTableDefinition xmlns="http://schemas.openxmlformats.org/spreadsheetml/2006/main" name="PivotTable1" cacheId="1" applyNumberFormats="0" applyBorderFormats="0" applyFontFormats="0" applyPatternFormats="0" applyAlignmentFormats="0" applyWidthHeightFormats="1" dataCaption="Values" tag="d15fcb04-2972-4202-bbda-6e96eaadee9a" updatedVersion="6" minRefreshableVersion="3" useAutoFormatting="1" itemPrintTitles="1" createdVersion="5" indent="0" outline="1" outlineData="1" multipleFieldFilters="0">
  <location ref="A1:A2" firstHeaderRow="1" firstDataRow="1" firstDataCol="0"/>
  <pivotFields count="3">
    <pivotField dataField="1" showAll="0"/>
    <pivotField allDrilled="1" showAll="0" dataSourceSort="1" defaultAttributeDrillState="1"/>
    <pivotField allDrilled="1" showAll="0" dataSourceSort="1" defaultAttributeDrillState="1"/>
  </pivotFields>
  <rowItems count="1">
    <i/>
  </rowItems>
  <colItems count="1">
    <i/>
  </colItems>
  <dataFields count="1">
    <dataField name="Distinct Count of Patient Id" fld="0" subtotal="count" baseField="0" baseItem="34859664">
      <extLst>
        <ext xmlns:x15="http://schemas.microsoft.com/office/spreadsheetml/2010/11/main" uri="{FABC7310-3BB5-11E1-824E-6D434824019B}">
          <x15:dataField isCountDistinct="1"/>
        </ext>
      </extLst>
    </dataField>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Calender Table (Month)].&amp;[Aug]"/>
      </members>
    </pivotHierarchy>
    <pivotHierarchy dragToData="1"/>
    <pivotHierarchy multipleItemSelectionAllowed="1" dragToData="1">
      <members count="1" level="1">
        <member name="[Query1].[Calender Table (Year)].&amp;[2023]"/>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Lst>
</pivotTableDefinition>
</file>

<file path=xl/pivotTables/pivotTable10.xml><?xml version="1.0" encoding="utf-8"?>
<pivotTableDefinition xmlns="http://schemas.openxmlformats.org/spreadsheetml/2006/main" name="PivotTable6" cacheId="5" applyNumberFormats="0" applyBorderFormats="0" applyFontFormats="0" applyPatternFormats="0" applyAlignmentFormats="0" applyWidthHeightFormats="1" dataCaption="Values" tag="e4a6afb9-e1d9-45ea-9e24-88f18cb70ef5" updatedVersion="6" minRefreshableVersion="3" useAutoFormatting="1" subtotalHiddenItems="1" itemPrintTitles="1" createdVersion="5" indent="0" outline="1" outlineData="1" multipleFieldFilters="0" chartFormat="26">
  <location ref="K2:L34" firstHeaderRow="1" firstDataRow="1" firstDataCol="1"/>
  <pivotFields count="4">
    <pivotField axis="axisRow" allDrilled="1" showAll="0" dataSourceSort="1">
      <items count="63">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 x="33" e="0"/>
        <item x="34" e="0"/>
        <item x="35" e="0"/>
        <item x="36" e="0"/>
        <item x="37" e="0"/>
        <item x="38" e="0"/>
        <item x="39" e="0"/>
        <item x="40" e="0"/>
        <item x="41" e="0"/>
        <item x="42" e="0"/>
        <item x="43" e="0"/>
        <item x="44" e="0"/>
        <item x="45" e="0"/>
        <item x="46" e="0"/>
        <item x="47" e="0"/>
        <item x="48" e="0"/>
        <item x="49" e="0"/>
        <item x="50" e="0"/>
        <item x="51" e="0"/>
        <item x="52" e="0"/>
        <item x="53" e="0"/>
        <item x="54" e="0"/>
        <item x="55" e="0"/>
        <item x="56" e="0"/>
        <item x="57" e="0"/>
        <item x="58" e="0"/>
        <item x="59" e="0"/>
        <item x="60" e="0"/>
        <item x="61" e="0"/>
        <item t="default"/>
      </items>
    </pivotField>
    <pivotField allDrilled="1" showAll="0" dataSourceSort="1" defaultAttributeDrillState="1"/>
    <pivotField dataField="1" showAll="0"/>
    <pivotField allDrilled="1" showAll="0" dataSourceSort="1"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25">
    <format dxfId="53">
      <pivotArea collapsedLevelsAreSubtotals="1" fieldPosition="0">
        <references count="1">
          <reference field="0" count="1">
            <x v="31"/>
          </reference>
        </references>
      </pivotArea>
    </format>
    <format dxfId="52">
      <pivotArea collapsedLevelsAreSubtotals="1" fieldPosition="0">
        <references count="1">
          <reference field="0" count="1">
            <x v="31"/>
          </reference>
        </references>
      </pivotArea>
    </format>
    <format dxfId="51">
      <pivotArea collapsedLevelsAreSubtotals="1" fieldPosition="0">
        <references count="1">
          <reference field="0" count="1">
            <x v="31"/>
          </reference>
        </references>
      </pivotArea>
    </format>
    <format dxfId="50">
      <pivotArea collapsedLevelsAreSubtotals="1" fieldPosition="0">
        <references count="1">
          <reference field="0" count="1">
            <x v="31"/>
          </reference>
        </references>
      </pivotArea>
    </format>
    <format dxfId="49">
      <pivotArea collapsedLevelsAreSubtotals="1" fieldPosition="0">
        <references count="1">
          <reference field="0" count="1">
            <x v="31"/>
          </reference>
        </references>
      </pivotArea>
    </format>
    <format dxfId="48">
      <pivotArea collapsedLevelsAreSubtotals="1" fieldPosition="0">
        <references count="1">
          <reference field="0" count="1">
            <x v="31"/>
          </reference>
        </references>
      </pivotArea>
    </format>
    <format dxfId="47">
      <pivotArea collapsedLevelsAreSubtotals="1" fieldPosition="0">
        <references count="1">
          <reference field="0" count="1">
            <x v="31"/>
          </reference>
        </references>
      </pivotArea>
    </format>
    <format dxfId="46">
      <pivotArea collapsedLevelsAreSubtotals="1" fieldPosition="0">
        <references count="1">
          <reference field="0" count="1">
            <x v="31"/>
          </reference>
        </references>
      </pivotArea>
    </format>
    <format dxfId="45">
      <pivotArea collapsedLevelsAreSubtotals="1" fieldPosition="0">
        <references count="1">
          <reference field="0" count="30">
            <x v="32"/>
            <x v="33"/>
            <x v="34"/>
            <x v="35"/>
            <x v="36"/>
            <x v="37"/>
            <x v="38"/>
            <x v="39"/>
            <x v="40"/>
            <x v="41"/>
            <x v="42"/>
            <x v="43"/>
            <x v="44"/>
            <x v="45"/>
            <x v="46"/>
            <x v="47"/>
            <x v="48"/>
            <x v="49"/>
            <x v="50"/>
            <x v="51"/>
            <x v="52"/>
            <x v="53"/>
            <x v="54"/>
            <x v="55"/>
            <x v="56"/>
            <x v="57"/>
            <x v="58"/>
            <x v="59"/>
            <x v="60"/>
            <x v="61"/>
          </reference>
        </references>
      </pivotArea>
    </format>
    <format dxfId="44">
      <pivotArea grandRow="1" outline="0" collapsedLevelsAreSubtotals="1" fieldPosition="0"/>
    </format>
    <format dxfId="43">
      <pivotArea collapsedLevelsAreSubtotals="1" fieldPosition="0">
        <references count="1">
          <reference field="0" count="30">
            <x v="32"/>
            <x v="33"/>
            <x v="34"/>
            <x v="35"/>
            <x v="36"/>
            <x v="37"/>
            <x v="38"/>
            <x v="39"/>
            <x v="40"/>
            <x v="41"/>
            <x v="42"/>
            <x v="43"/>
            <x v="44"/>
            <x v="45"/>
            <x v="46"/>
            <x v="47"/>
            <x v="48"/>
            <x v="49"/>
            <x v="50"/>
            <x v="51"/>
            <x v="52"/>
            <x v="53"/>
            <x v="54"/>
            <x v="55"/>
            <x v="56"/>
            <x v="57"/>
            <x v="58"/>
            <x v="59"/>
            <x v="60"/>
            <x v="61"/>
          </reference>
        </references>
      </pivotArea>
    </format>
    <format dxfId="42">
      <pivotArea grandRow="1" outline="0" collapsedLevelsAreSubtotals="1" fieldPosition="0"/>
    </format>
    <format dxfId="41">
      <pivotArea collapsedLevelsAreSubtotals="1" fieldPosition="0">
        <references count="1">
          <reference field="0" count="30">
            <x v="32"/>
            <x v="33"/>
            <x v="34"/>
            <x v="35"/>
            <x v="36"/>
            <x v="37"/>
            <x v="38"/>
            <x v="39"/>
            <x v="40"/>
            <x v="41"/>
            <x v="42"/>
            <x v="43"/>
            <x v="44"/>
            <x v="45"/>
            <x v="46"/>
            <x v="47"/>
            <x v="48"/>
            <x v="49"/>
            <x v="50"/>
            <x v="51"/>
            <x v="52"/>
            <x v="53"/>
            <x v="54"/>
            <x v="55"/>
            <x v="56"/>
            <x v="57"/>
            <x v="58"/>
            <x v="59"/>
            <x v="60"/>
            <x v="61"/>
          </reference>
        </references>
      </pivotArea>
    </format>
    <format dxfId="40">
      <pivotArea grandRow="1" outline="0" collapsedLevelsAreSubtotals="1" fieldPosition="0"/>
    </format>
    <format dxfId="39">
      <pivotArea collapsedLevelsAreSubtotals="1" fieldPosition="0">
        <references count="1">
          <reference field="0" count="30">
            <x v="32"/>
            <x v="33"/>
            <x v="34"/>
            <x v="35"/>
            <x v="36"/>
            <x v="37"/>
            <x v="38"/>
            <x v="39"/>
            <x v="40"/>
            <x v="41"/>
            <x v="42"/>
            <x v="43"/>
            <x v="44"/>
            <x v="45"/>
            <x v="46"/>
            <x v="47"/>
            <x v="48"/>
            <x v="49"/>
            <x v="50"/>
            <x v="51"/>
            <x v="52"/>
            <x v="53"/>
            <x v="54"/>
            <x v="55"/>
            <x v="56"/>
            <x v="57"/>
            <x v="58"/>
            <x v="59"/>
            <x v="60"/>
            <x v="61"/>
          </reference>
        </references>
      </pivotArea>
    </format>
    <format dxfId="38">
      <pivotArea grandRow="1" outline="0" collapsedLevelsAreSubtotals="1" fieldPosition="0"/>
    </format>
    <format dxfId="37">
      <pivotArea collapsedLevelsAreSubtotals="1" fieldPosition="0">
        <references count="1">
          <reference field="0" count="30">
            <x v="32"/>
            <x v="33"/>
            <x v="34"/>
            <x v="35"/>
            <x v="36"/>
            <x v="37"/>
            <x v="38"/>
            <x v="39"/>
            <x v="40"/>
            <x v="41"/>
            <x v="42"/>
            <x v="43"/>
            <x v="44"/>
            <x v="45"/>
            <x v="46"/>
            <x v="47"/>
            <x v="48"/>
            <x v="49"/>
            <x v="50"/>
            <x v="51"/>
            <x v="52"/>
            <x v="53"/>
            <x v="54"/>
            <x v="55"/>
            <x v="56"/>
            <x v="57"/>
            <x v="58"/>
            <x v="59"/>
            <x v="60"/>
            <x v="61"/>
          </reference>
        </references>
      </pivotArea>
    </format>
    <format dxfId="36">
      <pivotArea grandRow="1" outline="0" collapsedLevelsAreSubtotals="1" fieldPosition="0"/>
    </format>
    <format dxfId="35">
      <pivotArea collapsedLevelsAreSubtotals="1" fieldPosition="0">
        <references count="1">
          <reference field="0" count="30">
            <x v="32"/>
            <x v="33"/>
            <x v="34"/>
            <x v="35"/>
            <x v="36"/>
            <x v="37"/>
            <x v="38"/>
            <x v="39"/>
            <x v="40"/>
            <x v="41"/>
            <x v="42"/>
            <x v="43"/>
            <x v="44"/>
            <x v="45"/>
            <x v="46"/>
            <x v="47"/>
            <x v="48"/>
            <x v="49"/>
            <x v="50"/>
            <x v="51"/>
            <x v="52"/>
            <x v="53"/>
            <x v="54"/>
            <x v="55"/>
            <x v="56"/>
            <x v="57"/>
            <x v="58"/>
            <x v="59"/>
            <x v="60"/>
            <x v="61"/>
          </reference>
        </references>
      </pivotArea>
    </format>
    <format dxfId="34">
      <pivotArea grandRow="1" outline="0" collapsedLevelsAreSubtotals="1" fieldPosition="0"/>
    </format>
    <format dxfId="33">
      <pivotArea outline="0" collapsedLevelsAreSubtotals="1" fieldPosition="0"/>
    </format>
    <format dxfId="32">
      <pivotArea outline="0" collapsedLevelsAreSubtotals="1" fieldPosition="0"/>
    </format>
    <format dxfId="31">
      <pivotArea outline="0" collapsedLevelsAreSubtotals="1" fieldPosition="0"/>
    </format>
    <format dxfId="30">
      <pivotArea outline="0" collapsedLevelsAreSubtotals="1" fieldPosition="0"/>
    </format>
    <format dxfId="29">
      <pivotArea outline="0" collapsedLevelsAreSubtotals="1" fieldPosition="0"/>
    </format>
  </formats>
  <chartFormats count="3">
    <chartFormat chart="23" format="3"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Calender Table (Month)].&amp;[Aug]"/>
      </members>
    </pivotHierarchy>
    <pivotHierarchy dragToData="1"/>
    <pivotHierarchy multipleItemSelectionAllowed="1" dragToData="1">
      <members count="1" level="1">
        <member name="[Query1].[Calender Table (Year)].&amp;[2023]"/>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Query1]"/>
      </x15:pivotTableUISettings>
    </ext>
  </extLst>
</pivotTableDefinition>
</file>

<file path=xl/pivotTables/pivotTable11.xml><?xml version="1.0" encoding="utf-8"?>
<pivotTableDefinition xmlns="http://schemas.openxmlformats.org/spreadsheetml/2006/main" name="PivotTable7" cacheId="6" applyNumberFormats="0" applyBorderFormats="0" applyFontFormats="0" applyPatternFormats="0" applyAlignmentFormats="0" applyWidthHeightFormats="1" dataCaption="Values" tag="f3b6286a-1c08-45d9-a147-b0ae145af3bd" updatedVersion="6" minRefreshableVersion="3" useAutoFormatting="1" subtotalHiddenItems="1" itemPrintTitles="1" createdVersion="5" indent="0" outline="1" outlineData="1" multipleFieldFilters="0" chartFormat="6">
  <location ref="A11:C14" firstHeaderRow="0" firstDataRow="1" firstDataCol="1"/>
  <pivotFields count="5">
    <pivotField allDrilled="1" showAll="0" dataSourceSort="1" defaultAttributeDrillState="1"/>
    <pivotField axis="axisRow" allDrilled="1" showAll="0" dataSourceSort="1" defaultAttributeDrillState="1">
      <items count="3">
        <item x="0"/>
        <item x="1"/>
        <item t="default"/>
      </items>
    </pivotField>
    <pivotField dataField="1" showAll="0"/>
    <pivotField dataField="1" showAll="0"/>
    <pivotField allDrilled="1" showAll="0" dataSourceSort="1" defaultAttributeDrillState="1"/>
  </pivotFields>
  <rowFields count="1">
    <field x="1"/>
  </rowFields>
  <rowItems count="3">
    <i>
      <x/>
    </i>
    <i>
      <x v="1"/>
    </i>
    <i t="grand">
      <x/>
    </i>
  </rowItems>
  <colFields count="1">
    <field x="-2"/>
  </colFields>
  <colItems count="2">
    <i>
      <x/>
    </i>
    <i i="1">
      <x v="1"/>
    </i>
  </colItems>
  <dataFields count="2">
    <dataField name="Count of Patient Attend Status" fld="2" subtotal="count" baseField="0" baseItem="0"/>
    <dataField name="Count of Patient Admission Flag" fld="3" subtotal="count" showDataAs="percentOfTotal" baseField="0" baseItem="0" numFmtId="10"/>
  </dataFields>
  <formats count="6">
    <format dxfId="59">
      <pivotArea outline="0" collapsedLevelsAreSubtotals="1" fieldPosition="0"/>
    </format>
    <format dxfId="58">
      <pivotArea collapsedLevelsAreSubtotals="1" fieldPosition="0">
        <references count="1">
          <reference field="1" count="0"/>
        </references>
      </pivotArea>
    </format>
    <format dxfId="57">
      <pivotArea collapsedLevelsAreSubtotals="1" fieldPosition="0">
        <references count="1">
          <reference field="1" count="0"/>
        </references>
      </pivotArea>
    </format>
    <format dxfId="56">
      <pivotArea grandRow="1" outline="0" collapsedLevelsAreSubtotals="1" fieldPosition="0"/>
    </format>
    <format dxfId="55">
      <pivotArea grandRow="1" outline="0" collapsedLevelsAreSubtotals="1" fieldPosition="0"/>
    </format>
    <format dxfId="54">
      <pivotArea outline="0" fieldPosition="0">
        <references count="1">
          <reference field="4294967294" count="1">
            <x v="1"/>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1"/>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Calender Table (Month)].&amp;[Aug]"/>
      </members>
    </pivotHierarchy>
    <pivotHierarchy dragToData="1"/>
    <pivotHierarchy multipleItemSelectionAllowed="1" dragToData="1">
      <members count="1" level="1">
        <member name="[Query1].[Calender Table (Year)].&amp;[2023]"/>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Query1]"/>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lender_Table__Month" sourceName="[Query1].[Calender Tabl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s>
  <data>
    <olap pivotCacheId="1">
      <levels count="2">
        <level uniqueName="[Query1].[Calender Table (Month)].[(All)]" sourceCaption="(All)" count="0"/>
        <level uniqueName="[Query1].[Calender Table (Month)].[Calender Table (Month)]" sourceCaption="Calender Table (Month)" count="12">
          <ranges>
            <range startItem="0">
              <i n="[Query1].[Calender Table (Month)].&amp;[Apr]" c="Apr"/>
              <i n="[Query1].[Calender Table (Month)].&amp;[May]" c="May"/>
              <i n="[Query1].[Calender Table (Month)].&amp;[Jun]" c="Jun"/>
              <i n="[Query1].[Calender Table (Month)].&amp;[Jul]" c="Jul"/>
              <i n="[Query1].[Calender Table (Month)].&amp;[Aug]" c="Aug"/>
              <i n="[Query1].[Calender Table (Month)].&amp;[Sep]" c="Sep"/>
              <i n="[Query1].[Calender Table (Month)].&amp;[Oct]" c="Oct"/>
              <i n="[Query1].[Calender Table (Month)].&amp;[Nov]" c="Nov"/>
              <i n="[Query1].[Calender Table (Month)].&amp;[Dec]" c="Dec"/>
              <i n="[Query1].[Calender Table (Month)].&amp;[Jan]" c="Jan" nd="1"/>
              <i n="[Query1].[Calender Table (Month)].&amp;[Feb]" c="Feb" nd="1"/>
              <i n="[Query1].[Calender Table (Month)].&amp;[Mar]" c="Mar" nd="1"/>
            </range>
          </ranges>
        </level>
      </levels>
      <selections count="1">
        <selection n="[Query1].[Calender Table (Month)].&amp;[Aug]"/>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lender_Table__Year" sourceName="[Query1].[Calender Table (Year)]">
  <pivotTables>
    <pivotTable tabId="1" name="PivotTable11"/>
    <pivotTable tabId="1" name="PivotTable1"/>
    <pivotTable tabId="1" name="PivotTable10"/>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
      <levels count="2">
        <level uniqueName="[Query1].[Calender Table (Year)].[(All)]" sourceCaption="(All)" count="0"/>
        <level uniqueName="[Query1].[Calender Table (Year)].[Calender Table (Year)]" sourceCaption="Calender Table (Year)" count="2">
          <ranges>
            <range startItem="0">
              <i n="[Query1].[Calender Table (Year)].&amp;[2023]" c="2023"/>
              <i n="[Query1].[Calender Table (Year)].&amp;[2024]" c="2024"/>
            </range>
          </ranges>
        </level>
      </levels>
      <selections count="1">
        <selection n="[Query1].[Calender Tabl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lender Table (Month)" cache="Slicer_Calender_Table__Month" caption="Calender Table (Month)" showCaption="0" level="1" style="Mystyle" rowHeight="144000"/>
  <slicer name="Calender Table (Year)" cache="Slicer_Calender_Table__Year" caption="Calender Table (Year)" showCaption="0" level="1" style="Mystyle" rowHeight="10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5"/>
  <sheetViews>
    <sheetView zoomScale="72" zoomScaleNormal="72" workbookViewId="0">
      <selection activeCell="B1" sqref="B1"/>
    </sheetView>
  </sheetViews>
  <sheetFormatPr defaultRowHeight="14.4" x14ac:dyDescent="0.3"/>
  <cols>
    <col min="1" max="1" width="12.5546875" customWidth="1"/>
    <col min="2" max="2" width="21.6640625" customWidth="1"/>
    <col min="3" max="3" width="28.109375" customWidth="1"/>
    <col min="4" max="4" width="12.5546875" customWidth="1"/>
    <col min="5" max="5" width="23.88671875" customWidth="1"/>
    <col min="6" max="6" width="4" customWidth="1"/>
    <col min="7" max="7" width="4.44140625" customWidth="1"/>
    <col min="8" max="8" width="12.5546875" bestFit="1" customWidth="1"/>
    <col min="9" max="9" width="25" customWidth="1"/>
    <col min="10" max="10" width="4" customWidth="1"/>
    <col min="11" max="11" width="12.5546875" bestFit="1" customWidth="1"/>
    <col min="12" max="12" width="32.44140625" bestFit="1" customWidth="1"/>
    <col min="13" max="13" width="4.109375" customWidth="1"/>
    <col min="14" max="14" width="4" customWidth="1"/>
    <col min="15" max="15" width="13.5546875" bestFit="1" customWidth="1"/>
    <col min="16" max="16" width="27.77734375" bestFit="1" customWidth="1"/>
    <col min="17" max="17" width="10.77734375" customWidth="1"/>
    <col min="18" max="18" width="7" customWidth="1"/>
    <col min="19" max="19" width="6" customWidth="1"/>
    <col min="20" max="20" width="6.44140625" customWidth="1"/>
    <col min="21" max="21" width="9.33203125" customWidth="1"/>
    <col min="22" max="22" width="6.6640625" customWidth="1"/>
    <col min="23" max="23" width="6.77734375" customWidth="1"/>
    <col min="24" max="24" width="5.88671875" customWidth="1"/>
    <col min="25" max="25" width="9.33203125" customWidth="1"/>
    <col min="26" max="26" width="6.6640625" customWidth="1"/>
    <col min="27" max="27" width="6.33203125" customWidth="1"/>
    <col min="28" max="28" width="6.109375" customWidth="1"/>
    <col min="29" max="29" width="9.33203125" customWidth="1"/>
    <col min="30" max="30" width="6.6640625" customWidth="1"/>
    <col min="31" max="31" width="9.33203125" customWidth="1"/>
    <col min="32" max="32" width="9.6640625" customWidth="1"/>
    <col min="33" max="33" width="10.77734375" customWidth="1"/>
    <col min="34" max="34" width="10.33203125" bestFit="1" customWidth="1"/>
    <col min="35" max="35" width="8.6640625" customWidth="1"/>
    <col min="36" max="66" width="10.33203125" bestFit="1" customWidth="1"/>
    <col min="67" max="67" width="9.44140625" customWidth="1"/>
    <col min="68" max="97" width="10.33203125" bestFit="1" customWidth="1"/>
    <col min="98" max="98" width="8.5546875" customWidth="1"/>
    <col min="99" max="99" width="9.33203125" customWidth="1"/>
    <col min="100" max="130" width="10.33203125" bestFit="1" customWidth="1"/>
    <col min="131" max="131" width="7.88671875" customWidth="1"/>
    <col min="132" max="162" width="10.33203125" bestFit="1" customWidth="1"/>
    <col min="163" max="163" width="9" customWidth="1"/>
    <col min="164" max="193" width="10.33203125" bestFit="1" customWidth="1"/>
    <col min="194" max="194" width="8.77734375" customWidth="1"/>
    <col min="195" max="195" width="9.33203125" customWidth="1"/>
    <col min="196" max="226" width="10.33203125" bestFit="1" customWidth="1"/>
    <col min="227" max="227" width="8.5546875" customWidth="1"/>
    <col min="228" max="257" width="10.33203125" bestFit="1" customWidth="1"/>
    <col min="258" max="258" width="9.109375" customWidth="1"/>
    <col min="259" max="289" width="10.33203125" bestFit="1" customWidth="1"/>
    <col min="290" max="290" width="8.77734375" customWidth="1"/>
    <col min="291" max="291" width="9.33203125" customWidth="1"/>
    <col min="292" max="292" width="9.6640625" customWidth="1"/>
    <col min="293" max="323" width="10.33203125" bestFit="1" customWidth="1"/>
    <col min="324" max="324" width="8.44140625" customWidth="1"/>
    <col min="325" max="353" width="10.33203125" bestFit="1" customWidth="1"/>
    <col min="354" max="354" width="8.6640625" customWidth="1"/>
    <col min="355" max="385" width="10.33203125" bestFit="1" customWidth="1"/>
    <col min="386" max="386" width="9.109375" customWidth="1"/>
    <col min="387" max="387" width="9.33203125" customWidth="1"/>
    <col min="388" max="417" width="10.33203125" bestFit="1" customWidth="1"/>
    <col min="418" max="418" width="8.6640625" customWidth="1"/>
    <col min="419" max="449" width="10.33203125" bestFit="1" customWidth="1"/>
    <col min="450" max="450" width="9.44140625" customWidth="1"/>
    <col min="451" max="480" width="10.33203125" bestFit="1" customWidth="1"/>
    <col min="481" max="481" width="8.5546875" customWidth="1"/>
    <col min="482" max="482" width="9.33203125" customWidth="1"/>
    <col min="483" max="513" width="10.33203125" bestFit="1" customWidth="1"/>
    <col min="514" max="514" width="7.88671875" customWidth="1"/>
    <col min="515" max="545" width="10.33203125" bestFit="1" customWidth="1"/>
    <col min="546" max="546" width="9" customWidth="1"/>
    <col min="547" max="576" width="10.33203125" bestFit="1" customWidth="1"/>
    <col min="577" max="577" width="8.77734375" customWidth="1"/>
    <col min="578" max="578" width="9.33203125" customWidth="1"/>
    <col min="579" max="583" width="10.33203125" bestFit="1" customWidth="1"/>
    <col min="584" max="584" width="10.33203125" customWidth="1"/>
    <col min="585" max="608" width="10.33203125" bestFit="1" customWidth="1"/>
    <col min="609" max="609" width="8.5546875" customWidth="1"/>
    <col min="610" max="610" width="9.33203125" bestFit="1" customWidth="1"/>
    <col min="611" max="611" width="9.6640625" bestFit="1" customWidth="1"/>
    <col min="612" max="612" width="10.77734375" bestFit="1" customWidth="1"/>
  </cols>
  <sheetData>
    <row r="1" spans="1:16" x14ac:dyDescent="0.3">
      <c r="A1" t="s">
        <v>0</v>
      </c>
      <c r="O1" s="2" t="s">
        <v>4</v>
      </c>
      <c r="P1" t="s">
        <v>7</v>
      </c>
    </row>
    <row r="2" spans="1:16" x14ac:dyDescent="0.3">
      <c r="A2" s="1">
        <v>494</v>
      </c>
      <c r="B2" s="1"/>
      <c r="D2" s="2" t="s">
        <v>4</v>
      </c>
      <c r="E2" t="s">
        <v>0</v>
      </c>
      <c r="H2" s="2" t="s">
        <v>4</v>
      </c>
      <c r="I2" t="s">
        <v>1</v>
      </c>
      <c r="K2" s="2" t="s">
        <v>4</v>
      </c>
      <c r="L2" t="s">
        <v>2</v>
      </c>
      <c r="O2" s="5" t="s">
        <v>19</v>
      </c>
      <c r="P2" s="3">
        <v>321</v>
      </c>
    </row>
    <row r="3" spans="1:16" x14ac:dyDescent="0.3">
      <c r="D3" s="5" t="s">
        <v>24</v>
      </c>
      <c r="E3" s="1">
        <v>14</v>
      </c>
      <c r="H3" s="5" t="s">
        <v>24</v>
      </c>
      <c r="I3" s="1">
        <v>35.714285714285715</v>
      </c>
      <c r="K3" s="5" t="s">
        <v>24</v>
      </c>
      <c r="L3" s="3">
        <v>8</v>
      </c>
      <c r="O3" s="5" t="s">
        <v>18</v>
      </c>
      <c r="P3" s="3">
        <v>173</v>
      </c>
    </row>
    <row r="4" spans="1:16" x14ac:dyDescent="0.3">
      <c r="A4" t="s">
        <v>1</v>
      </c>
      <c r="D4" s="5" t="s">
        <v>25</v>
      </c>
      <c r="E4" s="1">
        <v>15</v>
      </c>
      <c r="H4" s="5" t="s">
        <v>25</v>
      </c>
      <c r="I4" s="1">
        <v>38.533333333333331</v>
      </c>
      <c r="K4" s="5" t="s">
        <v>25</v>
      </c>
      <c r="L4" s="3">
        <v>4</v>
      </c>
      <c r="O4" s="5" t="s">
        <v>3</v>
      </c>
      <c r="P4" s="3">
        <v>494</v>
      </c>
    </row>
    <row r="5" spans="1:16" x14ac:dyDescent="0.3">
      <c r="A5" s="3">
        <v>36.392712550607285</v>
      </c>
      <c r="B5" s="3"/>
      <c r="D5" s="5" t="s">
        <v>26</v>
      </c>
      <c r="E5" s="1">
        <v>17</v>
      </c>
      <c r="H5" s="5" t="s">
        <v>26</v>
      </c>
      <c r="I5" s="1">
        <v>38.941176470588232</v>
      </c>
      <c r="K5" s="5" t="s">
        <v>26</v>
      </c>
      <c r="L5" s="3">
        <v>5.333333333333333</v>
      </c>
    </row>
    <row r="6" spans="1:16" x14ac:dyDescent="0.3">
      <c r="D6" s="5" t="s">
        <v>27</v>
      </c>
      <c r="E6" s="1">
        <v>12</v>
      </c>
      <c r="H6" s="5" t="s">
        <v>27</v>
      </c>
      <c r="I6" s="1">
        <v>35.666666666666664</v>
      </c>
      <c r="K6" s="5" t="s">
        <v>27</v>
      </c>
      <c r="L6" s="3">
        <v>4.666666666666667</v>
      </c>
    </row>
    <row r="7" spans="1:16" x14ac:dyDescent="0.3">
      <c r="A7" t="s">
        <v>2</v>
      </c>
      <c r="D7" s="5" t="s">
        <v>28</v>
      </c>
      <c r="E7" s="1">
        <v>23</v>
      </c>
      <c r="H7" s="5" t="s">
        <v>28</v>
      </c>
      <c r="I7" s="1">
        <v>39.478260869565219</v>
      </c>
      <c r="K7" s="5" t="s">
        <v>28</v>
      </c>
      <c r="L7" s="3">
        <v>6.2</v>
      </c>
    </row>
    <row r="8" spans="1:16" x14ac:dyDescent="0.3">
      <c r="A8" s="3">
        <v>5.0629921259842519</v>
      </c>
      <c r="B8" s="3"/>
      <c r="D8" s="5" t="s">
        <v>29</v>
      </c>
      <c r="E8" s="1">
        <v>10</v>
      </c>
      <c r="H8" s="5" t="s">
        <v>29</v>
      </c>
      <c r="I8" s="1">
        <v>25.1</v>
      </c>
      <c r="K8" s="5" t="s">
        <v>29</v>
      </c>
      <c r="L8" s="3">
        <v>6.333333333333333</v>
      </c>
    </row>
    <row r="9" spans="1:16" x14ac:dyDescent="0.3">
      <c r="D9" s="5" t="s">
        <v>30</v>
      </c>
      <c r="E9" s="1">
        <v>18</v>
      </c>
      <c r="H9" s="5" t="s">
        <v>30</v>
      </c>
      <c r="I9" s="1">
        <v>43.666666666666664</v>
      </c>
      <c r="K9" s="5" t="s">
        <v>30</v>
      </c>
      <c r="L9" s="3">
        <v>9.5</v>
      </c>
    </row>
    <row r="10" spans="1:16" x14ac:dyDescent="0.3">
      <c r="D10" s="5" t="s">
        <v>31</v>
      </c>
      <c r="E10" s="1">
        <v>11</v>
      </c>
      <c r="H10" s="5" t="s">
        <v>31</v>
      </c>
      <c r="I10" s="1">
        <v>38.090909090909093</v>
      </c>
      <c r="K10" s="5" t="s">
        <v>31</v>
      </c>
      <c r="L10" s="3">
        <v>2</v>
      </c>
    </row>
    <row r="11" spans="1:16" x14ac:dyDescent="0.3">
      <c r="A11" s="2" t="s">
        <v>4</v>
      </c>
      <c r="B11" t="s">
        <v>7</v>
      </c>
      <c r="C11" t="s">
        <v>8</v>
      </c>
      <c r="D11" s="5" t="s">
        <v>32</v>
      </c>
      <c r="E11" s="1">
        <v>12</v>
      </c>
      <c r="H11" s="5" t="s">
        <v>32</v>
      </c>
      <c r="I11" s="1">
        <v>28.25</v>
      </c>
      <c r="K11" s="5" t="s">
        <v>32</v>
      </c>
      <c r="L11" s="3">
        <v>6.666666666666667</v>
      </c>
    </row>
    <row r="12" spans="1:16" x14ac:dyDescent="0.3">
      <c r="A12" s="5" t="s">
        <v>5</v>
      </c>
      <c r="B12" s="7">
        <v>234</v>
      </c>
      <c r="C12" s="8">
        <v>0.47368421052631576</v>
      </c>
      <c r="D12" s="5" t="s">
        <v>33</v>
      </c>
      <c r="E12" s="1">
        <v>24</v>
      </c>
      <c r="H12" s="5" t="s">
        <v>33</v>
      </c>
      <c r="I12" s="1">
        <v>36.291666666666664</v>
      </c>
      <c r="K12" s="5" t="s">
        <v>33</v>
      </c>
      <c r="L12" s="3">
        <v>2.25</v>
      </c>
    </row>
    <row r="13" spans="1:16" x14ac:dyDescent="0.3">
      <c r="A13" s="5" t="s">
        <v>6</v>
      </c>
      <c r="B13" s="7">
        <v>260</v>
      </c>
      <c r="C13" s="8">
        <v>0.52631578947368418</v>
      </c>
      <c r="D13" s="5" t="s">
        <v>34</v>
      </c>
      <c r="E13" s="1">
        <v>16</v>
      </c>
      <c r="H13" s="5" t="s">
        <v>34</v>
      </c>
      <c r="I13" s="1">
        <v>31.875</v>
      </c>
      <c r="K13" s="5" t="s">
        <v>34</v>
      </c>
      <c r="L13" s="3">
        <v>3</v>
      </c>
    </row>
    <row r="14" spans="1:16" x14ac:dyDescent="0.3">
      <c r="A14" s="5" t="s">
        <v>3</v>
      </c>
      <c r="B14" s="7">
        <v>494</v>
      </c>
      <c r="C14" s="8">
        <v>1</v>
      </c>
      <c r="D14" s="5" t="s">
        <v>35</v>
      </c>
      <c r="E14" s="1">
        <v>21</v>
      </c>
      <c r="H14" s="5" t="s">
        <v>35</v>
      </c>
      <c r="I14" s="1">
        <v>32.333333333333336</v>
      </c>
      <c r="K14" s="5" t="s">
        <v>35</v>
      </c>
      <c r="L14" s="3">
        <v>4.7142857142857144</v>
      </c>
    </row>
    <row r="15" spans="1:16" x14ac:dyDescent="0.3">
      <c r="D15" s="5" t="s">
        <v>36</v>
      </c>
      <c r="E15" s="1">
        <v>16</v>
      </c>
      <c r="H15" s="5" t="s">
        <v>36</v>
      </c>
      <c r="I15" s="1">
        <v>36.3125</v>
      </c>
      <c r="K15" s="5" t="s">
        <v>36</v>
      </c>
      <c r="L15" s="3">
        <v>10</v>
      </c>
    </row>
    <row r="16" spans="1:16" x14ac:dyDescent="0.3">
      <c r="D16" s="5" t="s">
        <v>37</v>
      </c>
      <c r="E16" s="1">
        <v>15</v>
      </c>
      <c r="H16" s="5" t="s">
        <v>37</v>
      </c>
      <c r="I16" s="1">
        <v>41.133333333333333</v>
      </c>
      <c r="K16" s="5" t="s">
        <v>37</v>
      </c>
      <c r="L16" s="3">
        <v>5.666666666666667</v>
      </c>
    </row>
    <row r="17" spans="1:12" x14ac:dyDescent="0.3">
      <c r="A17" s="2" t="s">
        <v>4</v>
      </c>
      <c r="B17" t="s">
        <v>17</v>
      </c>
      <c r="D17" s="5" t="s">
        <v>38</v>
      </c>
      <c r="E17" s="1">
        <v>14</v>
      </c>
      <c r="H17" s="5" t="s">
        <v>38</v>
      </c>
      <c r="I17" s="1">
        <v>32.071428571428569</v>
      </c>
      <c r="K17" s="5" t="s">
        <v>38</v>
      </c>
      <c r="L17" s="3">
        <v>5</v>
      </c>
    </row>
    <row r="18" spans="1:12" x14ac:dyDescent="0.3">
      <c r="A18" s="5" t="s">
        <v>9</v>
      </c>
      <c r="B18" s="3">
        <v>64</v>
      </c>
      <c r="D18" s="5" t="s">
        <v>39</v>
      </c>
      <c r="E18" s="1">
        <v>18</v>
      </c>
      <c r="H18" s="5" t="s">
        <v>39</v>
      </c>
      <c r="I18" s="1">
        <v>34.222222222222221</v>
      </c>
      <c r="K18" s="5" t="s">
        <v>39</v>
      </c>
      <c r="L18" s="3">
        <v>3</v>
      </c>
    </row>
    <row r="19" spans="1:12" x14ac:dyDescent="0.3">
      <c r="A19" s="5" t="s">
        <v>10</v>
      </c>
      <c r="B19" s="3">
        <v>74</v>
      </c>
      <c r="D19" s="5" t="s">
        <v>40</v>
      </c>
      <c r="E19" s="1">
        <v>12</v>
      </c>
      <c r="H19" s="5" t="s">
        <v>40</v>
      </c>
      <c r="I19" s="1">
        <v>43.666666666666664</v>
      </c>
      <c r="K19" s="5" t="s">
        <v>40</v>
      </c>
      <c r="L19" s="3">
        <v>5.333333333333333</v>
      </c>
    </row>
    <row r="20" spans="1:12" x14ac:dyDescent="0.3">
      <c r="A20" s="5" t="s">
        <v>11</v>
      </c>
      <c r="B20" s="3">
        <v>54</v>
      </c>
      <c r="D20" s="5" t="s">
        <v>41</v>
      </c>
      <c r="E20" s="1">
        <v>18</v>
      </c>
      <c r="H20" s="5" t="s">
        <v>41</v>
      </c>
      <c r="I20" s="1">
        <v>38.5</v>
      </c>
      <c r="K20" s="5" t="s">
        <v>41</v>
      </c>
      <c r="L20" s="3">
        <v>5.833333333333333</v>
      </c>
    </row>
    <row r="21" spans="1:12" x14ac:dyDescent="0.3">
      <c r="A21" s="5" t="s">
        <v>12</v>
      </c>
      <c r="B21" s="3">
        <v>73</v>
      </c>
      <c r="D21" s="5" t="s">
        <v>42</v>
      </c>
      <c r="E21" s="1">
        <v>16</v>
      </c>
      <c r="H21" s="5" t="s">
        <v>42</v>
      </c>
      <c r="I21" s="1">
        <v>32.6875</v>
      </c>
      <c r="K21" s="5" t="s">
        <v>42</v>
      </c>
      <c r="L21" s="3">
        <v>5.8</v>
      </c>
    </row>
    <row r="22" spans="1:12" x14ac:dyDescent="0.3">
      <c r="A22" s="5" t="s">
        <v>13</v>
      </c>
      <c r="B22" s="3">
        <v>62</v>
      </c>
      <c r="D22" s="5" t="s">
        <v>43</v>
      </c>
      <c r="E22" s="1">
        <v>22</v>
      </c>
      <c r="H22" s="5" t="s">
        <v>43</v>
      </c>
      <c r="I22" s="1">
        <v>41.045454545454547</v>
      </c>
      <c r="K22" s="5" t="s">
        <v>43</v>
      </c>
      <c r="L22" s="3">
        <v>5.2</v>
      </c>
    </row>
    <row r="23" spans="1:12" x14ac:dyDescent="0.3">
      <c r="A23" s="5" t="s">
        <v>14</v>
      </c>
      <c r="B23" s="3">
        <v>53</v>
      </c>
      <c r="D23" s="5" t="s">
        <v>44</v>
      </c>
      <c r="E23" s="1">
        <v>16</v>
      </c>
      <c r="H23" s="5" t="s">
        <v>44</v>
      </c>
      <c r="I23" s="1">
        <v>36.6875</v>
      </c>
      <c r="K23" s="5" t="s">
        <v>44</v>
      </c>
      <c r="L23" s="3">
        <v>4.5</v>
      </c>
    </row>
    <row r="24" spans="1:12" x14ac:dyDescent="0.3">
      <c r="A24" s="5" t="s">
        <v>15</v>
      </c>
      <c r="B24" s="3">
        <v>62</v>
      </c>
      <c r="D24" s="5" t="s">
        <v>45</v>
      </c>
      <c r="E24" s="1">
        <v>10</v>
      </c>
      <c r="H24" s="5" t="s">
        <v>45</v>
      </c>
      <c r="I24" s="1">
        <v>38.5</v>
      </c>
      <c r="K24" s="5" t="s">
        <v>45</v>
      </c>
      <c r="L24" s="3">
        <v>6</v>
      </c>
    </row>
    <row r="25" spans="1:12" x14ac:dyDescent="0.3">
      <c r="A25" s="5" t="s">
        <v>16</v>
      </c>
      <c r="B25" s="3">
        <v>52</v>
      </c>
      <c r="D25" s="5" t="s">
        <v>46</v>
      </c>
      <c r="E25" s="1">
        <v>18</v>
      </c>
      <c r="H25" s="5" t="s">
        <v>46</v>
      </c>
      <c r="I25" s="1">
        <v>33.777777777777779</v>
      </c>
      <c r="K25" s="5" t="s">
        <v>46</v>
      </c>
      <c r="L25" s="3">
        <v>6.5</v>
      </c>
    </row>
    <row r="26" spans="1:12" x14ac:dyDescent="0.3">
      <c r="A26" s="5" t="s">
        <v>3</v>
      </c>
      <c r="B26" s="3">
        <v>494</v>
      </c>
      <c r="D26" s="5" t="s">
        <v>47</v>
      </c>
      <c r="E26" s="1">
        <v>13</v>
      </c>
      <c r="H26" s="5" t="s">
        <v>47</v>
      </c>
      <c r="I26" s="1">
        <v>41.692307692307693</v>
      </c>
      <c r="K26" s="5" t="s">
        <v>47</v>
      </c>
      <c r="L26" s="3">
        <v>4.166666666666667</v>
      </c>
    </row>
    <row r="27" spans="1:12" x14ac:dyDescent="0.3">
      <c r="D27" s="5" t="s">
        <v>48</v>
      </c>
      <c r="E27" s="1">
        <v>20</v>
      </c>
      <c r="H27" s="5" t="s">
        <v>48</v>
      </c>
      <c r="I27" s="1">
        <v>31.7</v>
      </c>
      <c r="K27" s="5" t="s">
        <v>48</v>
      </c>
      <c r="L27" s="3">
        <v>3.6666666666666665</v>
      </c>
    </row>
    <row r="28" spans="1:12" x14ac:dyDescent="0.3">
      <c r="A28" s="2" t="s">
        <v>4</v>
      </c>
      <c r="B28" t="s">
        <v>22</v>
      </c>
      <c r="D28" s="5" t="s">
        <v>49</v>
      </c>
      <c r="E28" s="1">
        <v>17</v>
      </c>
      <c r="H28" s="5" t="s">
        <v>49</v>
      </c>
      <c r="I28" s="1">
        <v>36.470588235294116</v>
      </c>
      <c r="K28" s="5" t="s">
        <v>49</v>
      </c>
      <c r="L28" s="3">
        <v>3.5</v>
      </c>
    </row>
    <row r="29" spans="1:12" x14ac:dyDescent="0.3">
      <c r="A29" s="5" t="s">
        <v>20</v>
      </c>
      <c r="B29" s="3">
        <v>241</v>
      </c>
      <c r="D29" s="5" t="s">
        <v>50</v>
      </c>
      <c r="E29" s="1">
        <v>19</v>
      </c>
      <c r="H29" s="5" t="s">
        <v>50</v>
      </c>
      <c r="I29" s="1">
        <v>37.210526315789473</v>
      </c>
      <c r="K29" s="5" t="s">
        <v>50</v>
      </c>
      <c r="L29" s="3">
        <v>6</v>
      </c>
    </row>
    <row r="30" spans="1:12" x14ac:dyDescent="0.3">
      <c r="A30" s="5" t="s">
        <v>21</v>
      </c>
      <c r="B30" s="3">
        <v>253</v>
      </c>
      <c r="D30" s="5" t="s">
        <v>51</v>
      </c>
      <c r="E30" s="1">
        <v>17</v>
      </c>
      <c r="H30" s="5" t="s">
        <v>51</v>
      </c>
      <c r="I30" s="1">
        <v>36.294117647058826</v>
      </c>
      <c r="K30" s="5" t="s">
        <v>51</v>
      </c>
      <c r="L30" s="3">
        <v>5.1428571428571432</v>
      </c>
    </row>
    <row r="31" spans="1:12" x14ac:dyDescent="0.3">
      <c r="A31" s="5" t="s">
        <v>3</v>
      </c>
      <c r="B31" s="3">
        <v>494</v>
      </c>
      <c r="D31" s="5" t="s">
        <v>52</v>
      </c>
      <c r="E31" s="1">
        <v>22</v>
      </c>
      <c r="H31" s="5" t="s">
        <v>52</v>
      </c>
      <c r="I31" s="1">
        <v>32</v>
      </c>
      <c r="K31" s="5" t="s">
        <v>52</v>
      </c>
      <c r="L31" s="3">
        <v>4</v>
      </c>
    </row>
    <row r="32" spans="1:12" x14ac:dyDescent="0.3">
      <c r="D32" s="5" t="s">
        <v>53</v>
      </c>
      <c r="E32" s="1">
        <v>9</v>
      </c>
      <c r="H32" s="5" t="s">
        <v>53</v>
      </c>
      <c r="I32" s="1">
        <v>41.444444444444443</v>
      </c>
      <c r="K32" s="5" t="s">
        <v>53</v>
      </c>
      <c r="L32" s="3">
        <v>3.5</v>
      </c>
    </row>
    <row r="33" spans="1:12" x14ac:dyDescent="0.3">
      <c r="A33" s="2" t="s">
        <v>4</v>
      </c>
      <c r="D33" s="5" t="s">
        <v>54</v>
      </c>
      <c r="E33" s="1">
        <v>9</v>
      </c>
      <c r="H33" s="5" t="s">
        <v>54</v>
      </c>
      <c r="I33" s="1">
        <v>40.444444444444443</v>
      </c>
      <c r="K33" s="5" t="s">
        <v>54</v>
      </c>
      <c r="L33" s="3">
        <v>5</v>
      </c>
    </row>
    <row r="34" spans="1:12" x14ac:dyDescent="0.3">
      <c r="A34" s="5" t="s">
        <v>23</v>
      </c>
      <c r="D34" s="5" t="s">
        <v>3</v>
      </c>
      <c r="E34" s="1">
        <v>494</v>
      </c>
      <c r="H34" s="5" t="s">
        <v>3</v>
      </c>
      <c r="I34" s="3">
        <v>36.392712550607285</v>
      </c>
      <c r="K34" s="5" t="s">
        <v>3</v>
      </c>
      <c r="L34" s="3">
        <v>5.0629921259842519</v>
      </c>
    </row>
    <row r="35" spans="1:12" x14ac:dyDescent="0.3">
      <c r="A35" s="5" t="s">
        <v>3</v>
      </c>
    </row>
  </sheetData>
  <pageMargins left="0.7" right="0.7" top="0.75" bottom="0.75" header="0.3" footer="0.3"/>
  <pageSetup paperSize="9" orientation="portrait"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R3:U5"/>
  <sheetViews>
    <sheetView zoomScale="83" zoomScaleNormal="83" workbookViewId="0">
      <selection activeCell="S11" sqref="S11"/>
    </sheetView>
  </sheetViews>
  <sheetFormatPr defaultRowHeight="14.4" x14ac:dyDescent="0.3"/>
  <cols>
    <col min="18" max="18" width="12" bestFit="1" customWidth="1"/>
    <col min="19" max="19" width="27.109375" bestFit="1" customWidth="1"/>
    <col min="20" max="20" width="28.109375" bestFit="1" customWidth="1"/>
    <col min="21" max="21" width="21.44140625" customWidth="1"/>
  </cols>
  <sheetData>
    <row r="3" spans="18:21" ht="15" thickBot="1" x14ac:dyDescent="0.35">
      <c r="R3" s="9" t="s">
        <v>4</v>
      </c>
      <c r="S3" s="9" t="s">
        <v>7</v>
      </c>
      <c r="T3" s="9" t="s">
        <v>8</v>
      </c>
      <c r="U3" s="9" t="s">
        <v>55</v>
      </c>
    </row>
    <row r="4" spans="18:21" x14ac:dyDescent="0.3">
      <c r="R4" s="10" t="s">
        <v>6</v>
      </c>
      <c r="S4" s="11">
        <v>494</v>
      </c>
      <c r="T4" s="12">
        <v>0.52109704641350207</v>
      </c>
    </row>
    <row r="5" spans="18:21" ht="15" thickBot="1" x14ac:dyDescent="0.35">
      <c r="R5" s="13" t="s">
        <v>5</v>
      </c>
      <c r="S5" s="14">
        <v>454</v>
      </c>
      <c r="T5" s="15">
        <v>0.47890295358649787</v>
      </c>
    </row>
  </sheetData>
  <conditionalFormatting sqref="U4">
    <cfRule type="colorScale" priority="3">
      <colorScale>
        <cfvo type="min"/>
        <cfvo type="percentile" val="50"/>
        <cfvo type="max"/>
        <color rgb="FFF8696B"/>
        <color rgb="FFFFEB84"/>
        <color rgb="FF63BE7B"/>
      </colorScale>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112" zoomScaleNormal="112" workbookViewId="0"/>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X15" sqref="X15"/>
    </sheetView>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M26" sqref="M26"/>
    </sheetView>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5"/>
  <sheetViews>
    <sheetView tabSelected="1" zoomScale="165" zoomScaleNormal="165" workbookViewId="0">
      <selection activeCell="G17" sqref="G17"/>
    </sheetView>
  </sheetViews>
  <sheetFormatPr defaultRowHeight="14.4" x14ac:dyDescent="0.3"/>
  <sheetData>
    <row r="1" spans="1:14" x14ac:dyDescent="0.3">
      <c r="A1" s="4"/>
      <c r="B1" s="4"/>
      <c r="C1" s="4"/>
      <c r="D1" s="4"/>
      <c r="E1" s="4"/>
      <c r="F1" s="4"/>
      <c r="G1" s="4"/>
      <c r="H1" s="4"/>
      <c r="I1" s="4"/>
      <c r="J1" s="4"/>
      <c r="K1" s="4"/>
      <c r="L1" s="4"/>
      <c r="M1" s="4"/>
      <c r="N1" s="4"/>
    </row>
    <row r="2" spans="1:14" x14ac:dyDescent="0.3">
      <c r="A2" s="4"/>
      <c r="B2" s="4"/>
      <c r="C2" s="4"/>
      <c r="D2" s="4"/>
      <c r="E2" s="4"/>
      <c r="F2" s="4"/>
      <c r="G2" s="4"/>
      <c r="H2" s="4"/>
      <c r="I2" s="4"/>
      <c r="J2" s="4"/>
      <c r="K2" s="4"/>
      <c r="L2" s="4"/>
      <c r="M2" s="4"/>
      <c r="N2" s="4"/>
    </row>
    <row r="3" spans="1:14" x14ac:dyDescent="0.3">
      <c r="A3" s="4"/>
      <c r="B3" s="4"/>
      <c r="C3" s="4"/>
      <c r="D3" s="4"/>
      <c r="E3" s="4"/>
      <c r="F3" s="4"/>
      <c r="H3" s="4"/>
      <c r="I3" s="4"/>
      <c r="J3" s="4"/>
      <c r="K3" s="4"/>
      <c r="L3" s="4"/>
      <c r="M3" s="4"/>
      <c r="N3" s="4"/>
    </row>
    <row r="4" spans="1:14" x14ac:dyDescent="0.3">
      <c r="A4" s="4"/>
      <c r="B4" s="4"/>
      <c r="C4" s="4"/>
      <c r="D4" s="4"/>
      <c r="E4" s="4"/>
      <c r="F4" s="4"/>
      <c r="G4" s="4"/>
      <c r="H4" s="4"/>
      <c r="I4" s="4"/>
      <c r="J4" s="4"/>
      <c r="K4" s="4"/>
      <c r="L4" s="4"/>
      <c r="M4" s="4"/>
      <c r="N4" s="4"/>
    </row>
    <row r="5" spans="1:14" x14ac:dyDescent="0.3">
      <c r="A5" s="4"/>
      <c r="B5" s="4"/>
      <c r="C5" s="4"/>
      <c r="D5" s="4"/>
      <c r="E5" s="4"/>
      <c r="F5" s="4"/>
      <c r="G5" s="4"/>
      <c r="H5" s="4"/>
      <c r="I5" s="4"/>
      <c r="J5" s="4"/>
      <c r="K5" s="4"/>
      <c r="L5" s="4"/>
      <c r="M5" s="4"/>
      <c r="N5" s="4"/>
    </row>
    <row r="6" spans="1:14" x14ac:dyDescent="0.3">
      <c r="A6" s="4"/>
      <c r="B6" s="4"/>
      <c r="C6" s="4"/>
      <c r="D6" s="4"/>
      <c r="E6" s="4"/>
      <c r="F6" s="4"/>
      <c r="G6" s="4"/>
      <c r="H6" s="4"/>
      <c r="I6" s="4"/>
      <c r="J6" s="4"/>
      <c r="K6" s="4"/>
      <c r="L6" s="4"/>
      <c r="M6" s="4"/>
      <c r="N6" s="4"/>
    </row>
    <row r="7" spans="1:14" x14ac:dyDescent="0.3">
      <c r="A7" s="4"/>
      <c r="B7" s="4"/>
      <c r="C7" s="4"/>
      <c r="D7" s="4"/>
      <c r="E7" s="4"/>
      <c r="F7" s="4"/>
      <c r="G7" s="4"/>
      <c r="H7" s="4"/>
      <c r="I7" s="4"/>
      <c r="J7" s="4"/>
      <c r="K7" s="4"/>
      <c r="L7" s="4"/>
      <c r="M7" s="4"/>
      <c r="N7" s="4"/>
    </row>
    <row r="8" spans="1:14" x14ac:dyDescent="0.3">
      <c r="A8" s="4"/>
      <c r="B8" s="4"/>
      <c r="C8" s="4"/>
      <c r="D8" s="4"/>
      <c r="E8" s="4"/>
      <c r="F8" s="4"/>
      <c r="G8" s="4"/>
      <c r="H8" s="4"/>
      <c r="I8" s="4"/>
      <c r="J8" s="4"/>
      <c r="K8" s="4"/>
      <c r="L8" s="4"/>
      <c r="M8" s="4"/>
      <c r="N8" s="4"/>
    </row>
    <row r="9" spans="1:14" x14ac:dyDescent="0.3">
      <c r="A9" s="4"/>
      <c r="B9" s="4"/>
      <c r="C9" s="6"/>
      <c r="D9" s="4"/>
      <c r="E9" s="4"/>
      <c r="F9" s="4"/>
      <c r="G9" s="4"/>
      <c r="H9" s="4"/>
      <c r="I9" s="4"/>
      <c r="J9" s="4"/>
      <c r="K9" s="4"/>
      <c r="L9" s="4"/>
      <c r="M9" s="4"/>
      <c r="N9" s="4"/>
    </row>
    <row r="10" spans="1:14" x14ac:dyDescent="0.3">
      <c r="A10" s="4"/>
      <c r="B10" s="4"/>
      <c r="C10" s="4"/>
      <c r="D10" s="4"/>
      <c r="E10" s="4"/>
      <c r="F10" s="4"/>
      <c r="G10" s="4"/>
      <c r="H10" s="4"/>
      <c r="I10" s="4"/>
      <c r="J10" s="4"/>
      <c r="K10" s="4"/>
      <c r="L10" s="4"/>
      <c r="M10" s="4"/>
      <c r="N10" s="4"/>
    </row>
    <row r="11" spans="1:14" x14ac:dyDescent="0.3">
      <c r="A11" s="4"/>
      <c r="B11" s="4"/>
      <c r="C11" s="4"/>
      <c r="D11" s="4"/>
      <c r="E11" s="4"/>
      <c r="F11" s="4"/>
      <c r="G11" s="4"/>
      <c r="H11" s="4"/>
      <c r="I11" s="4"/>
      <c r="J11" s="4"/>
      <c r="K11" s="4"/>
      <c r="L11" s="4"/>
      <c r="M11" s="4"/>
      <c r="N11" s="4"/>
    </row>
    <row r="12" spans="1:14" x14ac:dyDescent="0.3">
      <c r="A12" s="4"/>
      <c r="B12" s="4"/>
      <c r="C12" s="4"/>
      <c r="D12" s="4"/>
      <c r="E12" s="4"/>
      <c r="F12" s="4"/>
      <c r="G12" s="4"/>
      <c r="H12" s="4"/>
      <c r="I12" s="4"/>
      <c r="J12" s="4"/>
      <c r="K12" s="4"/>
      <c r="L12" s="4"/>
      <c r="M12" s="4"/>
      <c r="N12" s="4"/>
    </row>
    <row r="13" spans="1:14" x14ac:dyDescent="0.3">
      <c r="A13" s="4"/>
      <c r="B13" s="4"/>
      <c r="C13" s="4"/>
      <c r="D13" s="4"/>
      <c r="E13" s="4"/>
      <c r="F13" s="4"/>
      <c r="G13" s="4"/>
      <c r="H13" s="4"/>
      <c r="I13" s="4"/>
      <c r="J13" s="4"/>
      <c r="K13" s="4"/>
      <c r="L13" s="4"/>
      <c r="M13" s="4"/>
      <c r="N13" s="4"/>
    </row>
    <row r="14" spans="1:14" x14ac:dyDescent="0.3">
      <c r="A14" s="4"/>
      <c r="B14" s="4"/>
      <c r="C14" s="4"/>
      <c r="D14" s="4"/>
      <c r="E14" s="4"/>
      <c r="F14" s="4"/>
      <c r="G14" s="4"/>
      <c r="H14" s="4"/>
      <c r="I14" s="4"/>
      <c r="J14" s="4"/>
      <c r="K14" s="4"/>
      <c r="L14" s="4"/>
      <c r="M14" s="4"/>
      <c r="N14" s="4"/>
    </row>
    <row r="15" spans="1:14" x14ac:dyDescent="0.3">
      <c r="A15" s="4"/>
      <c r="B15" s="4"/>
      <c r="C15" s="4"/>
      <c r="E15" s="4"/>
      <c r="F15" s="4"/>
      <c r="G15" s="4"/>
      <c r="H15" s="4"/>
      <c r="I15" s="4"/>
      <c r="J15" s="4"/>
      <c r="K15" s="4"/>
      <c r="L15" s="4"/>
      <c r="M15" s="4"/>
      <c r="N15"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0449658F-CF95-4A4A-A462-8008E3CCEF8F}">
  <ds:schemaRefs>
    <ds:schemaRef ds:uri="http://schemas.microsoft.com/DataMashup"/>
  </ds:schemaRefs>
</ds:datastoreItem>
</file>

<file path=customXml/itemProps2.xml><?xml version="1.0" encoding="utf-8"?>
<ds:datastoreItem xmlns:ds="http://schemas.openxmlformats.org/officeDocument/2006/customXml" ds:itemID="{D421ED6D-FC5E-47E8-AED1-C9106D0164D6}">
  <ds:schemaRefs/>
</ds:datastoreItem>
</file>

<file path=customXml/itemProps3.xml><?xml version="1.0" encoding="utf-8"?>
<ds:datastoreItem xmlns:ds="http://schemas.openxmlformats.org/officeDocument/2006/customXml" ds:itemID="{BE2ACCAF-E9BA-4C22-A319-B3962716FB6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report</vt:lpstr>
      <vt:lpstr>Patient Admitted Status </vt:lpstr>
      <vt:lpstr>Patient Satisfaction score</vt:lpstr>
      <vt:lpstr>Patient count  Trendline </vt:lpstr>
      <vt:lpstr>Patient Wait-Time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2026-02-28T17:26:22Z</dcterms:created>
  <dcterms:modified xsi:type="dcterms:W3CDTF">2026-03-02T13:11:55Z</dcterms:modified>
</cp:coreProperties>
</file>